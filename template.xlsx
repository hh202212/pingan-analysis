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86131\Desktop\财富2.0\"/>
    </mc:Choice>
  </mc:AlternateContent>
  <xr:revisionPtr revIDLastSave="0" documentId="13_ncr:1_{BEE0C657-4A43-46C0-B640-6CC6D38C0322}" xr6:coauthVersionLast="47" xr6:coauthVersionMax="47" xr10:uidLastSave="{00000000-0000-0000-0000-000000000000}"/>
  <bookViews>
    <workbookView xWindow="-108" yWindow="-108" windowWidth="26136" windowHeight="16896" xr2:uid="{00000000-000D-0000-FFFF-FFFF00000000}"/>
  </bookViews>
  <sheets>
    <sheet name="建议展示" sheetId="4" r:id="rId1"/>
    <sheet name="原表" sheetId="1" r:id="rId2"/>
    <sheet name="贴主险建议书" sheetId="3" r:id="rId3"/>
  </sheets>
  <calcPr calcId="181029"/>
</workbook>
</file>

<file path=xl/calcChain.xml><?xml version="1.0" encoding="utf-8"?>
<calcChain xmlns="http://schemas.openxmlformats.org/spreadsheetml/2006/main">
  <c r="B109" i="1" l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N69" i="1"/>
  <c r="L69" i="1"/>
  <c r="K69" i="1"/>
  <c r="J69" i="1"/>
  <c r="B69" i="1"/>
  <c r="N68" i="1"/>
  <c r="L68" i="1"/>
  <c r="K68" i="1"/>
  <c r="J68" i="1"/>
  <c r="B68" i="1"/>
  <c r="N67" i="1"/>
  <c r="L67" i="1"/>
  <c r="K67" i="1"/>
  <c r="J67" i="1"/>
  <c r="B67" i="1"/>
  <c r="N66" i="1"/>
  <c r="L66" i="1"/>
  <c r="K66" i="1"/>
  <c r="J66" i="1"/>
  <c r="B66" i="1"/>
  <c r="N65" i="1"/>
  <c r="L65" i="1"/>
  <c r="K65" i="1"/>
  <c r="J65" i="1"/>
  <c r="B65" i="1"/>
  <c r="N64" i="1"/>
  <c r="L64" i="1"/>
  <c r="K64" i="1"/>
  <c r="J64" i="1"/>
  <c r="B64" i="1"/>
  <c r="N63" i="1"/>
  <c r="L63" i="1"/>
  <c r="K63" i="1"/>
  <c r="J63" i="1"/>
  <c r="B63" i="1"/>
  <c r="N62" i="1"/>
  <c r="L62" i="1"/>
  <c r="K62" i="1"/>
  <c r="J62" i="1"/>
  <c r="B62" i="1"/>
  <c r="N61" i="1"/>
  <c r="L61" i="1"/>
  <c r="K61" i="1"/>
  <c r="J61" i="1"/>
  <c r="B61" i="1"/>
  <c r="N60" i="1"/>
  <c r="L60" i="1"/>
  <c r="K60" i="1"/>
  <c r="J60" i="1"/>
  <c r="B60" i="1"/>
  <c r="N59" i="1"/>
  <c r="L59" i="1"/>
  <c r="K59" i="1"/>
  <c r="J59" i="1"/>
  <c r="B59" i="1"/>
  <c r="N58" i="1"/>
  <c r="L58" i="1"/>
  <c r="K58" i="1"/>
  <c r="J58" i="1"/>
  <c r="B58" i="1"/>
  <c r="N57" i="1"/>
  <c r="L57" i="1"/>
  <c r="K57" i="1"/>
  <c r="J57" i="1"/>
  <c r="B57" i="1"/>
  <c r="N56" i="1"/>
  <c r="L56" i="1"/>
  <c r="K56" i="1"/>
  <c r="J56" i="1"/>
  <c r="B56" i="1"/>
  <c r="N55" i="1"/>
  <c r="L55" i="1"/>
  <c r="K55" i="1"/>
  <c r="J55" i="1"/>
  <c r="B55" i="1"/>
  <c r="N54" i="1"/>
  <c r="L54" i="1"/>
  <c r="K54" i="1"/>
  <c r="J54" i="1"/>
  <c r="B54" i="1"/>
  <c r="N53" i="1"/>
  <c r="L53" i="1"/>
  <c r="K53" i="1"/>
  <c r="J53" i="1"/>
  <c r="B53" i="1"/>
  <c r="N52" i="1"/>
  <c r="L52" i="1"/>
  <c r="K52" i="1"/>
  <c r="J52" i="1"/>
  <c r="B52" i="1"/>
  <c r="N51" i="1"/>
  <c r="L51" i="1"/>
  <c r="K51" i="1"/>
  <c r="J51" i="1"/>
  <c r="B51" i="1"/>
  <c r="N50" i="1"/>
  <c r="L50" i="1"/>
  <c r="K50" i="1"/>
  <c r="J50" i="1"/>
  <c r="B50" i="1"/>
  <c r="N49" i="1"/>
  <c r="L49" i="1"/>
  <c r="K49" i="1"/>
  <c r="J49" i="1"/>
  <c r="B49" i="1"/>
  <c r="N48" i="1"/>
  <c r="L48" i="1"/>
  <c r="K48" i="1"/>
  <c r="J48" i="1"/>
  <c r="B48" i="1"/>
  <c r="N47" i="1"/>
  <c r="L47" i="1"/>
  <c r="K47" i="1"/>
  <c r="J47" i="1"/>
  <c r="B47" i="1"/>
  <c r="N46" i="1"/>
  <c r="L46" i="1"/>
  <c r="K46" i="1"/>
  <c r="J46" i="1"/>
  <c r="B46" i="1"/>
  <c r="N45" i="1"/>
  <c r="L45" i="1"/>
  <c r="K45" i="1"/>
  <c r="J45" i="1"/>
  <c r="B45" i="1"/>
  <c r="N44" i="1"/>
  <c r="L44" i="1"/>
  <c r="K44" i="1"/>
  <c r="J44" i="1"/>
  <c r="B44" i="1"/>
  <c r="N43" i="1"/>
  <c r="L43" i="1"/>
  <c r="K43" i="1"/>
  <c r="J43" i="1"/>
  <c r="B43" i="1"/>
  <c r="N42" i="1"/>
  <c r="L42" i="1"/>
  <c r="K42" i="1"/>
  <c r="J42" i="1"/>
  <c r="B42" i="1"/>
  <c r="N41" i="1"/>
  <c r="L41" i="1"/>
  <c r="K41" i="1"/>
  <c r="J41" i="1"/>
  <c r="B41" i="1"/>
  <c r="N40" i="1"/>
  <c r="L40" i="1"/>
  <c r="K40" i="1"/>
  <c r="J40" i="1"/>
  <c r="I40" i="1"/>
  <c r="B40" i="1"/>
  <c r="N39" i="1"/>
  <c r="L39" i="1"/>
  <c r="K39" i="1"/>
  <c r="J39" i="1"/>
  <c r="I39" i="1"/>
  <c r="B39" i="1"/>
  <c r="N38" i="1"/>
  <c r="L38" i="1"/>
  <c r="K38" i="1"/>
  <c r="J38" i="1"/>
  <c r="I38" i="1"/>
  <c r="B38" i="1"/>
  <c r="N37" i="1"/>
  <c r="L37" i="1"/>
  <c r="K37" i="1"/>
  <c r="J37" i="1"/>
  <c r="I37" i="1"/>
  <c r="B37" i="1"/>
  <c r="N36" i="1"/>
  <c r="L36" i="1"/>
  <c r="K36" i="1"/>
  <c r="J36" i="1"/>
  <c r="I36" i="1"/>
  <c r="B36" i="1"/>
  <c r="N35" i="1"/>
  <c r="L35" i="1"/>
  <c r="K35" i="1"/>
  <c r="J35" i="1"/>
  <c r="I35" i="1"/>
  <c r="B35" i="1"/>
  <c r="N34" i="1"/>
  <c r="L34" i="1"/>
  <c r="K34" i="1"/>
  <c r="J34" i="1"/>
  <c r="I34" i="1"/>
  <c r="B34" i="1"/>
  <c r="N33" i="1"/>
  <c r="L33" i="1"/>
  <c r="K33" i="1"/>
  <c r="J33" i="1"/>
  <c r="I33" i="1"/>
  <c r="B33" i="1"/>
  <c r="N32" i="1"/>
  <c r="L32" i="1"/>
  <c r="K32" i="1"/>
  <c r="J32" i="1"/>
  <c r="I32" i="1"/>
  <c r="B32" i="1"/>
  <c r="N31" i="1"/>
  <c r="L31" i="1"/>
  <c r="K31" i="1"/>
  <c r="J31" i="1"/>
  <c r="B31" i="1"/>
  <c r="N30" i="1"/>
  <c r="L30" i="1"/>
  <c r="K30" i="1"/>
  <c r="J30" i="1"/>
  <c r="I30" i="1"/>
  <c r="O30" i="1" s="1"/>
  <c r="B30" i="1"/>
  <c r="N29" i="1"/>
  <c r="L29" i="1"/>
  <c r="K29" i="1"/>
  <c r="J29" i="1"/>
  <c r="B29" i="1"/>
  <c r="N28" i="1"/>
  <c r="L28" i="1"/>
  <c r="K28" i="1"/>
  <c r="J28" i="1"/>
  <c r="I28" i="1"/>
  <c r="O28" i="1" s="1"/>
  <c r="B28" i="1"/>
  <c r="N27" i="1"/>
  <c r="L27" i="1"/>
  <c r="K27" i="1"/>
  <c r="J27" i="1"/>
  <c r="B27" i="1"/>
  <c r="N26" i="1"/>
  <c r="L26" i="1"/>
  <c r="K26" i="1"/>
  <c r="J26" i="1"/>
  <c r="I26" i="1"/>
  <c r="O26" i="1" s="1"/>
  <c r="B26" i="1"/>
  <c r="N25" i="1"/>
  <c r="L25" i="1"/>
  <c r="K25" i="1"/>
  <c r="J25" i="1"/>
  <c r="B25" i="1"/>
  <c r="N24" i="1"/>
  <c r="L24" i="1"/>
  <c r="K24" i="1"/>
  <c r="J24" i="1"/>
  <c r="I24" i="1"/>
  <c r="O24" i="1" s="1"/>
  <c r="B24" i="1"/>
  <c r="N23" i="1"/>
  <c r="L23" i="1"/>
  <c r="K23" i="1"/>
  <c r="J23" i="1"/>
  <c r="B23" i="1"/>
  <c r="N22" i="1"/>
  <c r="L22" i="1"/>
  <c r="K22" i="1"/>
  <c r="J22" i="1"/>
  <c r="I22" i="1"/>
  <c r="O22" i="1" s="1"/>
  <c r="B22" i="1"/>
  <c r="N21" i="1"/>
  <c r="L21" i="1"/>
  <c r="K21" i="1"/>
  <c r="J21" i="1"/>
  <c r="B21" i="1"/>
  <c r="N20" i="1"/>
  <c r="L20" i="1"/>
  <c r="K20" i="1"/>
  <c r="J20" i="1"/>
  <c r="I20" i="1"/>
  <c r="O20" i="1" s="1"/>
  <c r="B20" i="1"/>
  <c r="N19" i="1"/>
  <c r="L19" i="1"/>
  <c r="K19" i="1"/>
  <c r="J19" i="1"/>
  <c r="B19" i="1"/>
  <c r="N18" i="1"/>
  <c r="L18" i="1"/>
  <c r="K18" i="1"/>
  <c r="J18" i="1"/>
  <c r="I18" i="1"/>
  <c r="O18" i="1" s="1"/>
  <c r="B18" i="1"/>
  <c r="N17" i="1"/>
  <c r="L17" i="1"/>
  <c r="K17" i="1"/>
  <c r="J17" i="1"/>
  <c r="B17" i="1"/>
  <c r="N16" i="1"/>
  <c r="L16" i="1"/>
  <c r="K16" i="1"/>
  <c r="J16" i="1"/>
  <c r="I16" i="1"/>
  <c r="O16" i="1" s="1"/>
  <c r="B16" i="1"/>
  <c r="N15" i="1"/>
  <c r="L15" i="1"/>
  <c r="K15" i="1"/>
  <c r="J15" i="1"/>
  <c r="B15" i="1"/>
  <c r="N14" i="1"/>
  <c r="L14" i="1"/>
  <c r="K14" i="1"/>
  <c r="J14" i="1"/>
  <c r="I14" i="1"/>
  <c r="O14" i="1" s="1"/>
  <c r="B14" i="1"/>
  <c r="N13" i="1"/>
  <c r="L13" i="1"/>
  <c r="K13" i="1"/>
  <c r="J13" i="1"/>
  <c r="B13" i="1"/>
  <c r="N12" i="1"/>
  <c r="L12" i="1"/>
  <c r="K12" i="1"/>
  <c r="J12" i="1"/>
  <c r="I12" i="1"/>
  <c r="O12" i="1" s="1"/>
  <c r="B12" i="1"/>
  <c r="N11" i="1"/>
  <c r="L11" i="1"/>
  <c r="K11" i="1"/>
  <c r="J11" i="1"/>
  <c r="B11" i="1"/>
  <c r="N10" i="1"/>
  <c r="L10" i="1"/>
  <c r="K10" i="1"/>
  <c r="J10" i="1"/>
  <c r="I10" i="1"/>
  <c r="B10" i="1"/>
  <c r="N9" i="1"/>
  <c r="L9" i="1"/>
  <c r="K9" i="1"/>
  <c r="J9" i="1"/>
  <c r="B9" i="1"/>
  <c r="N8" i="1"/>
  <c r="L8" i="1"/>
  <c r="K8" i="1"/>
  <c r="J8" i="1"/>
  <c r="B8" i="1"/>
  <c r="N7" i="1"/>
  <c r="L7" i="1"/>
  <c r="K7" i="1"/>
  <c r="J7" i="1"/>
  <c r="I7" i="1"/>
  <c r="B7" i="1"/>
  <c r="N6" i="1"/>
  <c r="L6" i="1"/>
  <c r="K6" i="1"/>
  <c r="J6" i="1"/>
  <c r="B6" i="1"/>
  <c r="N5" i="1"/>
  <c r="L5" i="1"/>
  <c r="K5" i="1"/>
  <c r="J5" i="1"/>
  <c r="D5" i="1"/>
  <c r="E5" i="1" s="1"/>
  <c r="C5" i="1"/>
  <c r="I69" i="1" s="1"/>
  <c r="B5" i="1"/>
  <c r="N70" i="4"/>
  <c r="L70" i="4"/>
  <c r="K70" i="4"/>
  <c r="J70" i="4"/>
  <c r="B70" i="4"/>
  <c r="N69" i="4"/>
  <c r="L69" i="4"/>
  <c r="K69" i="4"/>
  <c r="J69" i="4"/>
  <c r="B69" i="4"/>
  <c r="N68" i="4"/>
  <c r="L68" i="4"/>
  <c r="K68" i="4"/>
  <c r="J68" i="4"/>
  <c r="B68" i="4"/>
  <c r="N67" i="4"/>
  <c r="L67" i="4"/>
  <c r="K67" i="4"/>
  <c r="J67" i="4"/>
  <c r="B67" i="4"/>
  <c r="N66" i="4"/>
  <c r="L66" i="4"/>
  <c r="K66" i="4"/>
  <c r="J66" i="4"/>
  <c r="B66" i="4"/>
  <c r="N65" i="4"/>
  <c r="L65" i="4"/>
  <c r="K65" i="4"/>
  <c r="J65" i="4"/>
  <c r="B65" i="4"/>
  <c r="N64" i="4"/>
  <c r="L64" i="4"/>
  <c r="K64" i="4"/>
  <c r="J64" i="4"/>
  <c r="B64" i="4"/>
  <c r="N63" i="4"/>
  <c r="L63" i="4"/>
  <c r="K63" i="4"/>
  <c r="J63" i="4"/>
  <c r="B63" i="4"/>
  <c r="N62" i="4"/>
  <c r="L62" i="4"/>
  <c r="K62" i="4"/>
  <c r="J62" i="4"/>
  <c r="B62" i="4"/>
  <c r="N61" i="4"/>
  <c r="L61" i="4"/>
  <c r="K61" i="4"/>
  <c r="J61" i="4"/>
  <c r="B61" i="4"/>
  <c r="N60" i="4"/>
  <c r="L60" i="4"/>
  <c r="K60" i="4"/>
  <c r="J60" i="4"/>
  <c r="B60" i="4"/>
  <c r="N59" i="4"/>
  <c r="L59" i="4"/>
  <c r="K59" i="4"/>
  <c r="J59" i="4"/>
  <c r="B59" i="4"/>
  <c r="N58" i="4"/>
  <c r="L58" i="4"/>
  <c r="K58" i="4"/>
  <c r="J58" i="4"/>
  <c r="B58" i="4"/>
  <c r="N57" i="4"/>
  <c r="L57" i="4"/>
  <c r="K57" i="4"/>
  <c r="J57" i="4"/>
  <c r="B57" i="4"/>
  <c r="N56" i="4"/>
  <c r="L56" i="4"/>
  <c r="K56" i="4"/>
  <c r="J56" i="4"/>
  <c r="B56" i="4"/>
  <c r="N55" i="4"/>
  <c r="L55" i="4"/>
  <c r="K55" i="4"/>
  <c r="J55" i="4"/>
  <c r="B55" i="4"/>
  <c r="N54" i="4"/>
  <c r="L54" i="4"/>
  <c r="K54" i="4"/>
  <c r="J54" i="4"/>
  <c r="B54" i="4"/>
  <c r="N53" i="4"/>
  <c r="L53" i="4"/>
  <c r="K53" i="4"/>
  <c r="J53" i="4"/>
  <c r="B53" i="4"/>
  <c r="N52" i="4"/>
  <c r="L52" i="4"/>
  <c r="K52" i="4"/>
  <c r="J52" i="4"/>
  <c r="B52" i="4"/>
  <c r="N51" i="4"/>
  <c r="L51" i="4"/>
  <c r="K51" i="4"/>
  <c r="J51" i="4"/>
  <c r="B51" i="4"/>
  <c r="N50" i="4"/>
  <c r="L50" i="4"/>
  <c r="K50" i="4"/>
  <c r="J50" i="4"/>
  <c r="B50" i="4"/>
  <c r="N49" i="4"/>
  <c r="L49" i="4"/>
  <c r="K49" i="4"/>
  <c r="J49" i="4"/>
  <c r="B49" i="4"/>
  <c r="N48" i="4"/>
  <c r="L48" i="4"/>
  <c r="K48" i="4"/>
  <c r="J48" i="4"/>
  <c r="B48" i="4"/>
  <c r="N47" i="4"/>
  <c r="L47" i="4"/>
  <c r="K47" i="4"/>
  <c r="J47" i="4"/>
  <c r="B47" i="4"/>
  <c r="N46" i="4"/>
  <c r="L46" i="4"/>
  <c r="K46" i="4"/>
  <c r="J46" i="4"/>
  <c r="B46" i="4"/>
  <c r="N45" i="4"/>
  <c r="L45" i="4"/>
  <c r="K45" i="4"/>
  <c r="J45" i="4"/>
  <c r="I45" i="4"/>
  <c r="O45" i="4" s="1"/>
  <c r="B45" i="4"/>
  <c r="N44" i="4"/>
  <c r="L44" i="4"/>
  <c r="K44" i="4"/>
  <c r="J44" i="4"/>
  <c r="B44" i="4"/>
  <c r="N43" i="4"/>
  <c r="L43" i="4"/>
  <c r="K43" i="4"/>
  <c r="J43" i="4"/>
  <c r="B43" i="4"/>
  <c r="N42" i="4"/>
  <c r="L42" i="4"/>
  <c r="K42" i="4"/>
  <c r="J42" i="4"/>
  <c r="B42" i="4"/>
  <c r="N41" i="4"/>
  <c r="L41" i="4"/>
  <c r="K41" i="4"/>
  <c r="J41" i="4"/>
  <c r="B41" i="4"/>
  <c r="N40" i="4"/>
  <c r="L40" i="4"/>
  <c r="K40" i="4"/>
  <c r="J40" i="4"/>
  <c r="B40" i="4"/>
  <c r="N39" i="4"/>
  <c r="L39" i="4"/>
  <c r="K39" i="4"/>
  <c r="J39" i="4"/>
  <c r="I39" i="4"/>
  <c r="O39" i="4" s="1"/>
  <c r="B39" i="4"/>
  <c r="N38" i="4"/>
  <c r="L38" i="4"/>
  <c r="K38" i="4"/>
  <c r="J38" i="4"/>
  <c r="B38" i="4"/>
  <c r="N37" i="4"/>
  <c r="L37" i="4"/>
  <c r="K37" i="4"/>
  <c r="J37" i="4"/>
  <c r="B37" i="4"/>
  <c r="N36" i="4"/>
  <c r="L36" i="4"/>
  <c r="K36" i="4"/>
  <c r="J36" i="4"/>
  <c r="B36" i="4"/>
  <c r="N35" i="4"/>
  <c r="L35" i="4"/>
  <c r="K35" i="4"/>
  <c r="J35" i="4"/>
  <c r="B35" i="4"/>
  <c r="N34" i="4"/>
  <c r="L34" i="4"/>
  <c r="K34" i="4"/>
  <c r="J34" i="4"/>
  <c r="B34" i="4"/>
  <c r="N33" i="4"/>
  <c r="L33" i="4"/>
  <c r="K33" i="4"/>
  <c r="J33" i="4"/>
  <c r="B33" i="4"/>
  <c r="N32" i="4"/>
  <c r="L32" i="4"/>
  <c r="K32" i="4"/>
  <c r="J32" i="4"/>
  <c r="B32" i="4"/>
  <c r="N31" i="4"/>
  <c r="L31" i="4"/>
  <c r="K31" i="4"/>
  <c r="J31" i="4"/>
  <c r="B31" i="4"/>
  <c r="N30" i="4"/>
  <c r="L30" i="4"/>
  <c r="K30" i="4"/>
  <c r="J30" i="4"/>
  <c r="I30" i="4"/>
  <c r="B30" i="4"/>
  <c r="N29" i="4"/>
  <c r="L29" i="4"/>
  <c r="K29" i="4"/>
  <c r="J29" i="4"/>
  <c r="B29" i="4"/>
  <c r="N28" i="4"/>
  <c r="L28" i="4"/>
  <c r="K28" i="4"/>
  <c r="J28" i="4"/>
  <c r="I28" i="4"/>
  <c r="B28" i="4"/>
  <c r="N27" i="4"/>
  <c r="L27" i="4"/>
  <c r="K27" i="4"/>
  <c r="J27" i="4"/>
  <c r="B27" i="4"/>
  <c r="N26" i="4"/>
  <c r="L26" i="4"/>
  <c r="K26" i="4"/>
  <c r="J26" i="4"/>
  <c r="B26" i="4"/>
  <c r="N25" i="4"/>
  <c r="L25" i="4"/>
  <c r="K25" i="4"/>
  <c r="J25" i="4"/>
  <c r="B25" i="4"/>
  <c r="N24" i="4"/>
  <c r="L24" i="4"/>
  <c r="K24" i="4"/>
  <c r="J24" i="4"/>
  <c r="B24" i="4"/>
  <c r="N23" i="4"/>
  <c r="L23" i="4"/>
  <c r="K23" i="4"/>
  <c r="J23" i="4"/>
  <c r="B23" i="4"/>
  <c r="N22" i="4"/>
  <c r="L22" i="4"/>
  <c r="K22" i="4"/>
  <c r="J22" i="4"/>
  <c r="B22" i="4"/>
  <c r="N21" i="4"/>
  <c r="L21" i="4"/>
  <c r="K21" i="4"/>
  <c r="J21" i="4"/>
  <c r="B21" i="4"/>
  <c r="N20" i="4"/>
  <c r="L20" i="4"/>
  <c r="K20" i="4"/>
  <c r="J20" i="4"/>
  <c r="I20" i="4"/>
  <c r="B20" i="4"/>
  <c r="N19" i="4"/>
  <c r="L19" i="4"/>
  <c r="K19" i="4"/>
  <c r="J19" i="4"/>
  <c r="B19" i="4"/>
  <c r="N18" i="4"/>
  <c r="L18" i="4"/>
  <c r="K18" i="4"/>
  <c r="J18" i="4"/>
  <c r="I18" i="4"/>
  <c r="B18" i="4"/>
  <c r="N17" i="4"/>
  <c r="L17" i="4"/>
  <c r="K17" i="4"/>
  <c r="J17" i="4"/>
  <c r="B17" i="4"/>
  <c r="N16" i="4"/>
  <c r="L16" i="4"/>
  <c r="K16" i="4"/>
  <c r="J16" i="4"/>
  <c r="B16" i="4"/>
  <c r="N15" i="4"/>
  <c r="L15" i="4"/>
  <c r="K15" i="4"/>
  <c r="J15" i="4"/>
  <c r="B15" i="4"/>
  <c r="N14" i="4"/>
  <c r="L14" i="4"/>
  <c r="K14" i="4"/>
  <c r="J14" i="4"/>
  <c r="I14" i="4"/>
  <c r="B14" i="4"/>
  <c r="N13" i="4"/>
  <c r="L13" i="4"/>
  <c r="K13" i="4"/>
  <c r="J13" i="4"/>
  <c r="B13" i="4"/>
  <c r="N12" i="4"/>
  <c r="L12" i="4"/>
  <c r="K12" i="4"/>
  <c r="J12" i="4"/>
  <c r="I12" i="4"/>
  <c r="B12" i="4"/>
  <c r="N11" i="4"/>
  <c r="L11" i="4"/>
  <c r="K11" i="4"/>
  <c r="J11" i="4"/>
  <c r="B11" i="4"/>
  <c r="N10" i="4"/>
  <c r="L10" i="4"/>
  <c r="K10" i="4"/>
  <c r="J10" i="4"/>
  <c r="B10" i="4"/>
  <c r="N9" i="4"/>
  <c r="L9" i="4"/>
  <c r="K9" i="4"/>
  <c r="J9" i="4"/>
  <c r="B9" i="4"/>
  <c r="N8" i="4"/>
  <c r="L8" i="4"/>
  <c r="K8" i="4"/>
  <c r="J8" i="4"/>
  <c r="B8" i="4"/>
  <c r="N7" i="4"/>
  <c r="L7" i="4"/>
  <c r="K7" i="4"/>
  <c r="J7" i="4"/>
  <c r="B7" i="4"/>
  <c r="N6" i="4"/>
  <c r="L6" i="4"/>
  <c r="K6" i="4"/>
  <c r="J6" i="4"/>
  <c r="I6" i="4"/>
  <c r="S6" i="4" s="1"/>
  <c r="C6" i="4"/>
  <c r="I67" i="4" s="1"/>
  <c r="B6" i="4"/>
  <c r="M6" i="4" l="1"/>
  <c r="I37" i="4"/>
  <c r="O37" i="4" s="1"/>
  <c r="I24" i="4"/>
  <c r="I10" i="4"/>
  <c r="I26" i="4"/>
  <c r="I16" i="4"/>
  <c r="I32" i="4"/>
  <c r="I35" i="4"/>
  <c r="O35" i="4" s="1"/>
  <c r="I22" i="4"/>
  <c r="O22" i="4" s="1"/>
  <c r="I57" i="4"/>
  <c r="O57" i="4" s="1"/>
  <c r="O6" i="4"/>
  <c r="O7" i="4" s="1"/>
  <c r="I11" i="4"/>
  <c r="I15" i="4"/>
  <c r="O15" i="4" s="1"/>
  <c r="I19" i="4"/>
  <c r="O19" i="4" s="1"/>
  <c r="I23" i="4"/>
  <c r="O23" i="4" s="1"/>
  <c r="I27" i="4"/>
  <c r="O27" i="4" s="1"/>
  <c r="I31" i="4"/>
  <c r="O31" i="4" s="1"/>
  <c r="I41" i="4"/>
  <c r="O41" i="4" s="1"/>
  <c r="D6" i="4"/>
  <c r="E6" i="4" s="1"/>
  <c r="I7" i="4"/>
  <c r="I47" i="4"/>
  <c r="O47" i="4" s="1"/>
  <c r="I63" i="4"/>
  <c r="I53" i="4"/>
  <c r="O53" i="4" s="1"/>
  <c r="I69" i="4"/>
  <c r="I59" i="4"/>
  <c r="M59" i="4" s="1"/>
  <c r="I43" i="4"/>
  <c r="O43" i="4" s="1"/>
  <c r="I9" i="4"/>
  <c r="M9" i="4" s="1"/>
  <c r="I13" i="4"/>
  <c r="O13" i="4" s="1"/>
  <c r="I17" i="4"/>
  <c r="O17" i="4" s="1"/>
  <c r="I21" i="4"/>
  <c r="O21" i="4" s="1"/>
  <c r="I25" i="4"/>
  <c r="O25" i="4" s="1"/>
  <c r="I29" i="4"/>
  <c r="O29" i="4" s="1"/>
  <c r="I33" i="4"/>
  <c r="O33" i="4" s="1"/>
  <c r="I49" i="4"/>
  <c r="O49" i="4" s="1"/>
  <c r="I65" i="4"/>
  <c r="I55" i="4"/>
  <c r="O55" i="4" s="1"/>
  <c r="I61" i="4"/>
  <c r="I51" i="4"/>
  <c r="O51" i="4" s="1"/>
  <c r="M37" i="1"/>
  <c r="M35" i="1"/>
  <c r="M39" i="1"/>
  <c r="M15" i="1"/>
  <c r="M45" i="1"/>
  <c r="M43" i="1"/>
  <c r="I8" i="1"/>
  <c r="O32" i="1"/>
  <c r="O34" i="1"/>
  <c r="O36" i="1"/>
  <c r="O38" i="1"/>
  <c r="O40" i="1"/>
  <c r="O44" i="1"/>
  <c r="O50" i="1"/>
  <c r="O52" i="1"/>
  <c r="O54" i="1"/>
  <c r="O56" i="1"/>
  <c r="O60" i="1"/>
  <c r="O62" i="1"/>
  <c r="O66" i="1"/>
  <c r="O68" i="1"/>
  <c r="M61" i="1"/>
  <c r="I42" i="1"/>
  <c r="M42" i="1" s="1"/>
  <c r="I44" i="1"/>
  <c r="I46" i="1"/>
  <c r="O46" i="1" s="1"/>
  <c r="I48" i="1"/>
  <c r="M48" i="1" s="1"/>
  <c r="I50" i="1"/>
  <c r="I52" i="1"/>
  <c r="I54" i="1"/>
  <c r="I56" i="1"/>
  <c r="I58" i="1"/>
  <c r="O58" i="1" s="1"/>
  <c r="I60" i="1"/>
  <c r="I62" i="1"/>
  <c r="M62" i="1" s="1"/>
  <c r="I64" i="1"/>
  <c r="M64" i="1" s="1"/>
  <c r="I66" i="1"/>
  <c r="I68" i="1"/>
  <c r="I5" i="1"/>
  <c r="I6" i="1"/>
  <c r="M6" i="1" s="1"/>
  <c r="O31" i="1"/>
  <c r="O33" i="1"/>
  <c r="O35" i="1"/>
  <c r="O37" i="1"/>
  <c r="O39" i="1"/>
  <c r="O43" i="1"/>
  <c r="O45" i="1"/>
  <c r="O47" i="1"/>
  <c r="O53" i="1"/>
  <c r="O59" i="1"/>
  <c r="O61" i="1"/>
  <c r="O63" i="1"/>
  <c r="O69" i="1"/>
  <c r="I9" i="1"/>
  <c r="C6" i="1"/>
  <c r="I11" i="1"/>
  <c r="M11" i="1" s="1"/>
  <c r="I13" i="1"/>
  <c r="O13" i="1" s="1"/>
  <c r="I15" i="1"/>
  <c r="O15" i="1" s="1"/>
  <c r="I17" i="1"/>
  <c r="O17" i="1" s="1"/>
  <c r="I19" i="1"/>
  <c r="O19" i="1" s="1"/>
  <c r="I21" i="1"/>
  <c r="O21" i="1" s="1"/>
  <c r="I23" i="1"/>
  <c r="O23" i="1" s="1"/>
  <c r="I25" i="1"/>
  <c r="O25" i="1" s="1"/>
  <c r="I27" i="1"/>
  <c r="O27" i="1" s="1"/>
  <c r="I29" i="1"/>
  <c r="O29" i="1" s="1"/>
  <c r="I31" i="1"/>
  <c r="M31" i="1" s="1"/>
  <c r="M32" i="1"/>
  <c r="M36" i="1"/>
  <c r="M38" i="1"/>
  <c r="M40" i="1"/>
  <c r="M44" i="1"/>
  <c r="M56" i="1"/>
  <c r="M60" i="1"/>
  <c r="I41" i="1"/>
  <c r="O41" i="1" s="1"/>
  <c r="I43" i="1"/>
  <c r="I45" i="1"/>
  <c r="I47" i="1"/>
  <c r="M47" i="1" s="1"/>
  <c r="I49" i="1"/>
  <c r="O49" i="1" s="1"/>
  <c r="I51" i="1"/>
  <c r="O51" i="1" s="1"/>
  <c r="I53" i="1"/>
  <c r="I55" i="1"/>
  <c r="O55" i="1" s="1"/>
  <c r="I57" i="1"/>
  <c r="O57" i="1" s="1"/>
  <c r="I59" i="1"/>
  <c r="I61" i="1"/>
  <c r="I63" i="1"/>
  <c r="I65" i="1"/>
  <c r="O65" i="1" s="1"/>
  <c r="I67" i="1"/>
  <c r="M67" i="1" s="1"/>
  <c r="F7" i="4"/>
  <c r="S7" i="4"/>
  <c r="O8" i="4"/>
  <c r="I8" i="4"/>
  <c r="M8" i="4" s="1"/>
  <c r="O14" i="4"/>
  <c r="O16" i="4"/>
  <c r="O18" i="4"/>
  <c r="O20" i="4"/>
  <c r="O24" i="4"/>
  <c r="O26" i="4"/>
  <c r="O28" i="4"/>
  <c r="O30" i="4"/>
  <c r="O32" i="4"/>
  <c r="M11" i="4"/>
  <c r="M13" i="4"/>
  <c r="M21" i="4"/>
  <c r="M55" i="4"/>
  <c r="M61" i="4"/>
  <c r="M69" i="4"/>
  <c r="C7" i="4"/>
  <c r="I34" i="4"/>
  <c r="O34" i="4" s="1"/>
  <c r="I36" i="4"/>
  <c r="O36" i="4" s="1"/>
  <c r="I38" i="4"/>
  <c r="M38" i="4" s="1"/>
  <c r="I40" i="4"/>
  <c r="O40" i="4" s="1"/>
  <c r="I42" i="4"/>
  <c r="M42" i="4" s="1"/>
  <c r="I44" i="4"/>
  <c r="M44" i="4" s="1"/>
  <c r="I46" i="4"/>
  <c r="M46" i="4" s="1"/>
  <c r="I48" i="4"/>
  <c r="O48" i="4" s="1"/>
  <c r="I50" i="4"/>
  <c r="O50" i="4" s="1"/>
  <c r="I52" i="4"/>
  <c r="O52" i="4" s="1"/>
  <c r="I54" i="4"/>
  <c r="O54" i="4" s="1"/>
  <c r="I56" i="4"/>
  <c r="O56" i="4" s="1"/>
  <c r="I58" i="4"/>
  <c r="O58" i="4" s="1"/>
  <c r="I60" i="4"/>
  <c r="M60" i="4" s="1"/>
  <c r="I62" i="4"/>
  <c r="O62" i="4" s="1"/>
  <c r="I64" i="4"/>
  <c r="O64" i="4" s="1"/>
  <c r="I66" i="4"/>
  <c r="O66" i="4" s="1"/>
  <c r="I68" i="4"/>
  <c r="O68" i="4" s="1"/>
  <c r="I70" i="4"/>
  <c r="M70" i="4" s="1"/>
  <c r="O61" i="4"/>
  <c r="O63" i="4"/>
  <c r="O65" i="4"/>
  <c r="O67" i="4"/>
  <c r="O69" i="4"/>
  <c r="F6" i="4"/>
  <c r="G6" i="4" s="1"/>
  <c r="H6" i="4" s="1"/>
  <c r="P6" i="4"/>
  <c r="Q6" i="4" s="1"/>
  <c r="V6" i="4" s="1"/>
  <c r="W6" i="4" s="1"/>
  <c r="M10" i="4"/>
  <c r="M12" i="4"/>
  <c r="M14" i="1"/>
  <c r="M30" i="1"/>
  <c r="M49" i="4"/>
  <c r="M68" i="1"/>
  <c r="M9" i="1"/>
  <c r="M37" i="4"/>
  <c r="M30" i="4"/>
  <c r="M32" i="4"/>
  <c r="M54" i="4"/>
  <c r="M59" i="1"/>
  <c r="M14" i="4"/>
  <c r="M16" i="4"/>
  <c r="M26" i="4"/>
  <c r="M28" i="4"/>
  <c r="M12" i="1"/>
  <c r="M64" i="4"/>
  <c r="M65" i="4"/>
  <c r="M16" i="1"/>
  <c r="M20" i="1"/>
  <c r="M22" i="1"/>
  <c r="M24" i="1"/>
  <c r="M28" i="1"/>
  <c r="M52" i="1"/>
  <c r="M17" i="4"/>
  <c r="M29" i="4"/>
  <c r="M39" i="4"/>
  <c r="M43" i="4"/>
  <c r="M45" i="4"/>
  <c r="M21" i="1"/>
  <c r="M23" i="1"/>
  <c r="M54" i="1"/>
  <c r="M69" i="1"/>
  <c r="M8" i="1"/>
  <c r="M34" i="1"/>
  <c r="M33" i="1"/>
  <c r="M50" i="1"/>
  <c r="M40" i="4"/>
  <c r="M57" i="4"/>
  <c r="M66" i="1"/>
  <c r="M17" i="1"/>
  <c r="M18" i="1"/>
  <c r="M18" i="4"/>
  <c r="M20" i="4"/>
  <c r="M50" i="4"/>
  <c r="M52" i="4"/>
  <c r="M63" i="4"/>
  <c r="M67" i="4"/>
  <c r="M26" i="1"/>
  <c r="M41" i="1"/>
  <c r="M53" i="1"/>
  <c r="M55" i="1"/>
  <c r="M57" i="1"/>
  <c r="M24" i="4"/>
  <c r="M41" i="4"/>
  <c r="M56" i="4"/>
  <c r="M7" i="4"/>
  <c r="M15" i="4"/>
  <c r="M19" i="4"/>
  <c r="M34" i="4"/>
  <c r="M36" i="4"/>
  <c r="M47" i="4"/>
  <c r="M51" i="4"/>
  <c r="M10" i="1"/>
  <c r="M25" i="1"/>
  <c r="M63" i="1"/>
  <c r="M5" i="1"/>
  <c r="M7" i="1"/>
  <c r="M27" i="4" l="1"/>
  <c r="M35" i="4"/>
  <c r="M22" i="4"/>
  <c r="T6" i="4"/>
  <c r="U6" i="4" s="1"/>
  <c r="M31" i="4"/>
  <c r="M25" i="4"/>
  <c r="O59" i="4"/>
  <c r="M48" i="4"/>
  <c r="M53" i="4"/>
  <c r="G7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M33" i="4"/>
  <c r="M23" i="4"/>
  <c r="M46" i="1"/>
  <c r="M13" i="1"/>
  <c r="S5" i="1"/>
  <c r="O5" i="1"/>
  <c r="M51" i="1"/>
  <c r="M49" i="1"/>
  <c r="M29" i="1"/>
  <c r="D6" i="1"/>
  <c r="E6" i="1" s="1"/>
  <c r="C7" i="1"/>
  <c r="M27" i="1"/>
  <c r="O64" i="1"/>
  <c r="O48" i="1"/>
  <c r="M58" i="1"/>
  <c r="O67" i="1"/>
  <c r="M65" i="1"/>
  <c r="M19" i="1"/>
  <c r="O42" i="1"/>
  <c r="M58" i="4"/>
  <c r="M68" i="4"/>
  <c r="M66" i="4"/>
  <c r="D7" i="4"/>
  <c r="E7" i="4" s="1"/>
  <c r="M62" i="4"/>
  <c r="O46" i="4"/>
  <c r="O60" i="4"/>
  <c r="O44" i="4"/>
  <c r="O42" i="4"/>
  <c r="O70" i="4"/>
  <c r="O38" i="4"/>
  <c r="O9" i="4"/>
  <c r="P7" i="4"/>
  <c r="Q7" i="4" s="1"/>
  <c r="T7" i="4" s="1"/>
  <c r="U7" i="4" s="1"/>
  <c r="S8" i="4"/>
  <c r="S6" i="1" l="1"/>
  <c r="V5" i="1"/>
  <c r="W5" i="1" s="1"/>
  <c r="C8" i="1"/>
  <c r="D7" i="1"/>
  <c r="E7" i="1" s="1"/>
  <c r="F5" i="1"/>
  <c r="G5" i="1" s="1"/>
  <c r="H5" i="1" s="1"/>
  <c r="O6" i="1"/>
  <c r="P5" i="1"/>
  <c r="Q5" i="1" s="1"/>
  <c r="T5" i="1" s="1"/>
  <c r="U5" i="1" s="1"/>
  <c r="P9" i="4"/>
  <c r="Q9" i="4" s="1"/>
  <c r="T9" i="4" s="1"/>
  <c r="O10" i="4"/>
  <c r="P8" i="4"/>
  <c r="Q8" i="4" s="1"/>
  <c r="T8" i="4" s="1"/>
  <c r="C8" i="4"/>
  <c r="V7" i="4"/>
  <c r="W7" i="4" s="1"/>
  <c r="S9" i="4"/>
  <c r="V8" i="4"/>
  <c r="W8" i="4" s="1"/>
  <c r="S7" i="1" l="1"/>
  <c r="D8" i="1"/>
  <c r="E8" i="1" s="1"/>
  <c r="C9" i="1"/>
  <c r="O7" i="1"/>
  <c r="F6" i="1"/>
  <c r="G6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P6" i="1"/>
  <c r="Q6" i="1" s="1"/>
  <c r="T6" i="1" s="1"/>
  <c r="U6" i="1" s="1"/>
  <c r="S10" i="4"/>
  <c r="V9" i="4"/>
  <c r="W9" i="4" s="1"/>
  <c r="D8" i="4"/>
  <c r="E8" i="4" s="1"/>
  <c r="U8" i="4" s="1"/>
  <c r="P10" i="4"/>
  <c r="Q10" i="4" s="1"/>
  <c r="O11" i="4"/>
  <c r="C9" i="4" l="1"/>
  <c r="D9" i="4" s="1"/>
  <c r="E9" i="4" s="1"/>
  <c r="U9" i="4" s="1"/>
  <c r="D9" i="1"/>
  <c r="E9" i="1" s="1"/>
  <c r="V6" i="1"/>
  <c r="W6" i="1" s="1"/>
  <c r="S8" i="1"/>
  <c r="O8" i="1"/>
  <c r="P7" i="1"/>
  <c r="Q7" i="1" s="1"/>
  <c r="T7" i="1" s="1"/>
  <c r="U7" i="1" s="1"/>
  <c r="S11" i="4"/>
  <c r="V10" i="4"/>
  <c r="W10" i="4" s="1"/>
  <c r="O12" i="4"/>
  <c r="P11" i="4"/>
  <c r="Q11" i="4" s="1"/>
  <c r="T10" i="4"/>
  <c r="C10" i="1" l="1"/>
  <c r="P8" i="1"/>
  <c r="Q8" i="1" s="1"/>
  <c r="T8" i="1" s="1"/>
  <c r="U8" i="1" s="1"/>
  <c r="O9" i="1"/>
  <c r="V7" i="1"/>
  <c r="W7" i="1" s="1"/>
  <c r="S9" i="1"/>
  <c r="P12" i="4"/>
  <c r="Q12" i="4" s="1"/>
  <c r="P13" i="4" s="1"/>
  <c r="Q13" i="4" s="1"/>
  <c r="S12" i="4"/>
  <c r="V11" i="4"/>
  <c r="W11" i="4" s="1"/>
  <c r="C10" i="4"/>
  <c r="T11" i="4"/>
  <c r="P9" i="1" l="1"/>
  <c r="Q9" i="1" s="1"/>
  <c r="T9" i="1" s="1"/>
  <c r="U9" i="1" s="1"/>
  <c r="O10" i="1"/>
  <c r="D10" i="1"/>
  <c r="E10" i="1" s="1"/>
  <c r="C11" i="1"/>
  <c r="V8" i="1"/>
  <c r="W8" i="1" s="1"/>
  <c r="S10" i="1"/>
  <c r="S13" i="4"/>
  <c r="V12" i="4"/>
  <c r="W12" i="4" s="1"/>
  <c r="D10" i="4"/>
  <c r="E10" i="4" s="1"/>
  <c r="U10" i="4" s="1"/>
  <c r="T12" i="4"/>
  <c r="P14" i="4"/>
  <c r="Q14" i="4" s="1"/>
  <c r="D11" i="1" l="1"/>
  <c r="E11" i="1" s="1"/>
  <c r="O11" i="1"/>
  <c r="P10" i="1"/>
  <c r="Q10" i="1" s="1"/>
  <c r="T10" i="1" s="1"/>
  <c r="U10" i="1" s="1"/>
  <c r="V9" i="1"/>
  <c r="W9" i="1" s="1"/>
  <c r="S11" i="1"/>
  <c r="V10" i="1"/>
  <c r="W10" i="1" s="1"/>
  <c r="S14" i="4"/>
  <c r="V13" i="4"/>
  <c r="W13" i="4" s="1"/>
  <c r="P15" i="4"/>
  <c r="Q15" i="4" s="1"/>
  <c r="T13" i="4"/>
  <c r="C11" i="4"/>
  <c r="S12" i="1" l="1"/>
  <c r="P11" i="1"/>
  <c r="Q11" i="1" s="1"/>
  <c r="C12" i="1"/>
  <c r="P16" i="4"/>
  <c r="Q16" i="4" s="1"/>
  <c r="D11" i="4"/>
  <c r="E11" i="4" s="1"/>
  <c r="U11" i="4" s="1"/>
  <c r="S15" i="4"/>
  <c r="T15" i="4" s="1"/>
  <c r="V14" i="4"/>
  <c r="W14" i="4" s="1"/>
  <c r="T14" i="4"/>
  <c r="D12" i="1" l="1"/>
  <c r="E12" i="1" s="1"/>
  <c r="C13" i="1"/>
  <c r="P12" i="1"/>
  <c r="Q12" i="1" s="1"/>
  <c r="T11" i="1"/>
  <c r="U11" i="1" s="1"/>
  <c r="V11" i="1"/>
  <c r="W11" i="1" s="1"/>
  <c r="S13" i="1"/>
  <c r="V12" i="1"/>
  <c r="W12" i="1" s="1"/>
  <c r="P17" i="4"/>
  <c r="Q17" i="4" s="1"/>
  <c r="S16" i="4"/>
  <c r="T16" i="4" s="1"/>
  <c r="V15" i="4"/>
  <c r="W15" i="4" s="1"/>
  <c r="C12" i="4"/>
  <c r="S14" i="1" l="1"/>
  <c r="P13" i="1"/>
  <c r="Q13" i="1" s="1"/>
  <c r="T12" i="1"/>
  <c r="U12" i="1" s="1"/>
  <c r="D13" i="1"/>
  <c r="E13" i="1" s="1"/>
  <c r="D12" i="4"/>
  <c r="E12" i="4" s="1"/>
  <c r="U12" i="4" s="1"/>
  <c r="P18" i="4"/>
  <c r="Q18" i="4" s="1"/>
  <c r="S17" i="4"/>
  <c r="V16" i="4"/>
  <c r="W16" i="4" s="1"/>
  <c r="C14" i="1" l="1"/>
  <c r="P14" i="1"/>
  <c r="Q14" i="1" s="1"/>
  <c r="T13" i="1"/>
  <c r="U13" i="1" s="1"/>
  <c r="V13" i="1"/>
  <c r="W13" i="1" s="1"/>
  <c r="S15" i="1"/>
  <c r="V14" i="1"/>
  <c r="W14" i="1" s="1"/>
  <c r="S18" i="4"/>
  <c r="V17" i="4"/>
  <c r="W17" i="4" s="1"/>
  <c r="C13" i="4"/>
  <c r="T17" i="4"/>
  <c r="P19" i="4"/>
  <c r="Q19" i="4" s="1"/>
  <c r="S16" i="1" l="1"/>
  <c r="P15" i="1"/>
  <c r="Q15" i="1" s="1"/>
  <c r="T14" i="1"/>
  <c r="D14" i="1"/>
  <c r="E14" i="1" s="1"/>
  <c r="C15" i="1"/>
  <c r="S19" i="4"/>
  <c r="T19" i="4" s="1"/>
  <c r="V18" i="4"/>
  <c r="W18" i="4" s="1"/>
  <c r="T18" i="4"/>
  <c r="P20" i="4"/>
  <c r="Q20" i="4" s="1"/>
  <c r="D13" i="4"/>
  <c r="E13" i="4" s="1"/>
  <c r="U13" i="4" s="1"/>
  <c r="D15" i="1" l="1"/>
  <c r="E15" i="1" s="1"/>
  <c r="U14" i="1"/>
  <c r="P16" i="1"/>
  <c r="Q16" i="1" s="1"/>
  <c r="T15" i="1"/>
  <c r="U15" i="1" s="1"/>
  <c r="V15" i="1"/>
  <c r="W15" i="1" s="1"/>
  <c r="S17" i="1"/>
  <c r="V16" i="1"/>
  <c r="W16" i="1" s="1"/>
  <c r="P21" i="4"/>
  <c r="Q21" i="4" s="1"/>
  <c r="C14" i="4"/>
  <c r="S20" i="4"/>
  <c r="V19" i="4"/>
  <c r="W19" i="4" s="1"/>
  <c r="S18" i="1" l="1"/>
  <c r="P17" i="1"/>
  <c r="Q17" i="1" s="1"/>
  <c r="T16" i="1"/>
  <c r="C16" i="1"/>
  <c r="D14" i="4"/>
  <c r="E14" i="4" s="1"/>
  <c r="U14" i="4" s="1"/>
  <c r="S21" i="4"/>
  <c r="T21" i="4" s="1"/>
  <c r="V20" i="4"/>
  <c r="W20" i="4" s="1"/>
  <c r="P22" i="4"/>
  <c r="Q22" i="4" s="1"/>
  <c r="T20" i="4"/>
  <c r="D16" i="1" l="1"/>
  <c r="E16" i="1" s="1"/>
  <c r="U16" i="1" s="1"/>
  <c r="C17" i="1"/>
  <c r="P18" i="1"/>
  <c r="Q18" i="1" s="1"/>
  <c r="T17" i="1"/>
  <c r="V17" i="1"/>
  <c r="W17" i="1" s="1"/>
  <c r="S19" i="1"/>
  <c r="V18" i="1"/>
  <c r="W18" i="1" s="1"/>
  <c r="P23" i="4"/>
  <c r="Q23" i="4" s="1"/>
  <c r="S22" i="4"/>
  <c r="T22" i="4" s="1"/>
  <c r="V21" i="4"/>
  <c r="W21" i="4" s="1"/>
  <c r="C15" i="4"/>
  <c r="S20" i="1" l="1"/>
  <c r="P19" i="1"/>
  <c r="Q19" i="1" s="1"/>
  <c r="T18" i="1"/>
  <c r="D17" i="1"/>
  <c r="E17" i="1" s="1"/>
  <c r="U17" i="1" s="1"/>
  <c r="P24" i="4"/>
  <c r="Q24" i="4" s="1"/>
  <c r="D15" i="4"/>
  <c r="E15" i="4" s="1"/>
  <c r="U15" i="4" s="1"/>
  <c r="C16" i="4"/>
  <c r="S23" i="4"/>
  <c r="V22" i="4"/>
  <c r="W22" i="4" s="1"/>
  <c r="C18" i="1" l="1"/>
  <c r="P20" i="1"/>
  <c r="Q20" i="1" s="1"/>
  <c r="T19" i="1"/>
  <c r="V19" i="1"/>
  <c r="W19" i="1" s="1"/>
  <c r="S21" i="1"/>
  <c r="V20" i="1"/>
  <c r="W20" i="1" s="1"/>
  <c r="S24" i="4"/>
  <c r="T24" i="4" s="1"/>
  <c r="V23" i="4"/>
  <c r="W23" i="4" s="1"/>
  <c r="D16" i="4"/>
  <c r="E16" i="4" s="1"/>
  <c r="U16" i="4" s="1"/>
  <c r="T23" i="4"/>
  <c r="P25" i="4"/>
  <c r="Q25" i="4" s="1"/>
  <c r="S22" i="1" l="1"/>
  <c r="P21" i="1"/>
  <c r="Q21" i="1" s="1"/>
  <c r="T20" i="1"/>
  <c r="D18" i="1"/>
  <c r="E18" i="1" s="1"/>
  <c r="U18" i="1" s="1"/>
  <c r="C19" i="1"/>
  <c r="P26" i="4"/>
  <c r="Q26" i="4" s="1"/>
  <c r="C17" i="4"/>
  <c r="S25" i="4"/>
  <c r="V24" i="4"/>
  <c r="W24" i="4" s="1"/>
  <c r="D19" i="1" l="1"/>
  <c r="E19" i="1" s="1"/>
  <c r="U19" i="1" s="1"/>
  <c r="P22" i="1"/>
  <c r="Q22" i="1" s="1"/>
  <c r="T21" i="1"/>
  <c r="V21" i="1"/>
  <c r="W21" i="1" s="1"/>
  <c r="S23" i="1"/>
  <c r="V22" i="1"/>
  <c r="W22" i="1" s="1"/>
  <c r="S26" i="4"/>
  <c r="T26" i="4" s="1"/>
  <c r="V25" i="4"/>
  <c r="W25" i="4" s="1"/>
  <c r="D17" i="4"/>
  <c r="E17" i="4" s="1"/>
  <c r="U17" i="4" s="1"/>
  <c r="P27" i="4"/>
  <c r="Q27" i="4" s="1"/>
  <c r="T25" i="4"/>
  <c r="C18" i="4" l="1"/>
  <c r="D18" i="4" s="1"/>
  <c r="E18" i="4" s="1"/>
  <c r="U18" i="4" s="1"/>
  <c r="P23" i="1"/>
  <c r="Q23" i="1" s="1"/>
  <c r="T22" i="1"/>
  <c r="S24" i="1"/>
  <c r="V23" i="1"/>
  <c r="W23" i="1" s="1"/>
  <c r="C20" i="1"/>
  <c r="P28" i="4"/>
  <c r="Q28" i="4" s="1"/>
  <c r="S27" i="4"/>
  <c r="V26" i="4"/>
  <c r="W26" i="4" s="1"/>
  <c r="D20" i="1" l="1"/>
  <c r="E20" i="1" s="1"/>
  <c r="U20" i="1" s="1"/>
  <c r="C21" i="1"/>
  <c r="S25" i="1"/>
  <c r="T23" i="1"/>
  <c r="P24" i="1"/>
  <c r="Q24" i="1" s="1"/>
  <c r="S28" i="4"/>
  <c r="T28" i="4" s="1"/>
  <c r="V27" i="4"/>
  <c r="W27" i="4" s="1"/>
  <c r="C19" i="4"/>
  <c r="T27" i="4"/>
  <c r="P29" i="4"/>
  <c r="Q29" i="4" s="1"/>
  <c r="P25" i="1" l="1"/>
  <c r="Q25" i="1" s="1"/>
  <c r="T24" i="1"/>
  <c r="D21" i="1"/>
  <c r="E21" i="1" s="1"/>
  <c r="U21" i="1" s="1"/>
  <c r="V24" i="1"/>
  <c r="W24" i="1" s="1"/>
  <c r="S26" i="1"/>
  <c r="V25" i="1"/>
  <c r="W25" i="1" s="1"/>
  <c r="P30" i="4"/>
  <c r="Q30" i="4" s="1"/>
  <c r="D19" i="4"/>
  <c r="E19" i="4" s="1"/>
  <c r="U19" i="4" s="1"/>
  <c r="S29" i="4"/>
  <c r="V28" i="4"/>
  <c r="W28" i="4" s="1"/>
  <c r="S27" i="1" l="1"/>
  <c r="C22" i="1"/>
  <c r="P26" i="1"/>
  <c r="Q26" i="1" s="1"/>
  <c r="T25" i="1"/>
  <c r="C20" i="4"/>
  <c r="S30" i="4"/>
  <c r="V29" i="4"/>
  <c r="W29" i="4" s="1"/>
  <c r="T30" i="4"/>
  <c r="P31" i="4"/>
  <c r="Q31" i="4" s="1"/>
  <c r="T29" i="4"/>
  <c r="P27" i="1" l="1"/>
  <c r="Q27" i="1" s="1"/>
  <c r="T26" i="1"/>
  <c r="D22" i="1"/>
  <c r="E22" i="1" s="1"/>
  <c r="U22" i="1" s="1"/>
  <c r="V26" i="1"/>
  <c r="W26" i="1" s="1"/>
  <c r="S28" i="1"/>
  <c r="V27" i="1"/>
  <c r="W27" i="1" s="1"/>
  <c r="P32" i="4"/>
  <c r="Q32" i="4" s="1"/>
  <c r="S31" i="4"/>
  <c r="V30" i="4"/>
  <c r="W30" i="4" s="1"/>
  <c r="D20" i="4"/>
  <c r="E20" i="4" s="1"/>
  <c r="U20" i="4" s="1"/>
  <c r="S29" i="1" l="1"/>
  <c r="C23" i="1"/>
  <c r="T27" i="1"/>
  <c r="P28" i="1"/>
  <c r="Q28" i="1" s="1"/>
  <c r="S32" i="4"/>
  <c r="T32" i="4" s="1"/>
  <c r="V31" i="4"/>
  <c r="W31" i="4" s="1"/>
  <c r="C21" i="4"/>
  <c r="T31" i="4"/>
  <c r="P33" i="4"/>
  <c r="Q33" i="4" s="1"/>
  <c r="P29" i="1" l="1"/>
  <c r="Q29" i="1" s="1"/>
  <c r="T28" i="1"/>
  <c r="D23" i="1"/>
  <c r="E23" i="1" s="1"/>
  <c r="U23" i="1" s="1"/>
  <c r="V28" i="1"/>
  <c r="W28" i="1" s="1"/>
  <c r="S30" i="1"/>
  <c r="V29" i="1"/>
  <c r="W29" i="1" s="1"/>
  <c r="P34" i="4"/>
  <c r="Q34" i="4" s="1"/>
  <c r="D21" i="4"/>
  <c r="E21" i="4" s="1"/>
  <c r="U21" i="4" s="1"/>
  <c r="S33" i="4"/>
  <c r="V32" i="4"/>
  <c r="W32" i="4" s="1"/>
  <c r="S31" i="1" l="1"/>
  <c r="C24" i="1"/>
  <c r="T29" i="1"/>
  <c r="P30" i="1"/>
  <c r="Q30" i="1" s="1"/>
  <c r="S34" i="4"/>
  <c r="T34" i="4" s="1"/>
  <c r="V33" i="4"/>
  <c r="W33" i="4" s="1"/>
  <c r="T33" i="4"/>
  <c r="C22" i="4"/>
  <c r="P35" i="4"/>
  <c r="Q35" i="4" s="1"/>
  <c r="T30" i="1" l="1"/>
  <c r="P31" i="1"/>
  <c r="Q31" i="1" s="1"/>
  <c r="D24" i="1"/>
  <c r="E24" i="1" s="1"/>
  <c r="U24" i="1" s="1"/>
  <c r="C25" i="1"/>
  <c r="V30" i="1"/>
  <c r="W30" i="1" s="1"/>
  <c r="S32" i="1"/>
  <c r="V31" i="1"/>
  <c r="W31" i="1" s="1"/>
  <c r="P36" i="4"/>
  <c r="Q36" i="4" s="1"/>
  <c r="D22" i="4"/>
  <c r="E22" i="4" s="1"/>
  <c r="U22" i="4" s="1"/>
  <c r="S35" i="4"/>
  <c r="V34" i="4"/>
  <c r="W34" i="4" s="1"/>
  <c r="S33" i="1" l="1"/>
  <c r="D25" i="1"/>
  <c r="E25" i="1" s="1"/>
  <c r="U25" i="1" s="1"/>
  <c r="P32" i="1"/>
  <c r="Q32" i="1" s="1"/>
  <c r="T31" i="1"/>
  <c r="C23" i="4"/>
  <c r="S36" i="4"/>
  <c r="T36" i="4" s="1"/>
  <c r="V35" i="4"/>
  <c r="W35" i="4" s="1"/>
  <c r="T35" i="4"/>
  <c r="P37" i="4"/>
  <c r="Q37" i="4" s="1"/>
  <c r="P33" i="1" l="1"/>
  <c r="Q33" i="1" s="1"/>
  <c r="T32" i="1"/>
  <c r="C26" i="1"/>
  <c r="V32" i="1"/>
  <c r="W32" i="1" s="1"/>
  <c r="S34" i="1"/>
  <c r="V33" i="1"/>
  <c r="W33" i="1" s="1"/>
  <c r="S37" i="4"/>
  <c r="T37" i="4" s="1"/>
  <c r="V36" i="4"/>
  <c r="W36" i="4" s="1"/>
  <c r="P38" i="4"/>
  <c r="Q38" i="4" s="1"/>
  <c r="D23" i="4"/>
  <c r="E23" i="4" s="1"/>
  <c r="U23" i="4" s="1"/>
  <c r="C24" i="4"/>
  <c r="S35" i="1" l="1"/>
  <c r="D26" i="1"/>
  <c r="E26" i="1" s="1"/>
  <c r="U26" i="1" s="1"/>
  <c r="C27" i="1"/>
  <c r="T33" i="1"/>
  <c r="P34" i="1"/>
  <c r="Q34" i="1" s="1"/>
  <c r="P39" i="4"/>
  <c r="Q39" i="4" s="1"/>
  <c r="D24" i="4"/>
  <c r="E24" i="4" s="1"/>
  <c r="U24" i="4" s="1"/>
  <c r="S38" i="4"/>
  <c r="V37" i="4"/>
  <c r="W37" i="4" s="1"/>
  <c r="P35" i="1" l="1"/>
  <c r="Q35" i="1" s="1"/>
  <c r="T34" i="1"/>
  <c r="D27" i="1"/>
  <c r="E27" i="1" s="1"/>
  <c r="U27" i="1" s="1"/>
  <c r="V34" i="1"/>
  <c r="W34" i="1" s="1"/>
  <c r="S36" i="1"/>
  <c r="V35" i="1"/>
  <c r="W35" i="1" s="1"/>
  <c r="S39" i="4"/>
  <c r="T39" i="4" s="1"/>
  <c r="V38" i="4"/>
  <c r="W38" i="4" s="1"/>
  <c r="T38" i="4"/>
  <c r="C25" i="4"/>
  <c r="P40" i="4"/>
  <c r="Q40" i="4" s="1"/>
  <c r="S37" i="1" l="1"/>
  <c r="C28" i="1"/>
  <c r="P36" i="1"/>
  <c r="Q36" i="1" s="1"/>
  <c r="T35" i="1"/>
  <c r="P41" i="4"/>
  <c r="Q41" i="4" s="1"/>
  <c r="D25" i="4"/>
  <c r="E25" i="4" s="1"/>
  <c r="U25" i="4" s="1"/>
  <c r="S40" i="4"/>
  <c r="V39" i="4"/>
  <c r="W39" i="4" s="1"/>
  <c r="C26" i="4" l="1"/>
  <c r="D28" i="1"/>
  <c r="E28" i="1" s="1"/>
  <c r="U28" i="1" s="1"/>
  <c r="C29" i="1"/>
  <c r="T36" i="1"/>
  <c r="P37" i="1"/>
  <c r="Q37" i="1" s="1"/>
  <c r="V36" i="1"/>
  <c r="W36" i="1" s="1"/>
  <c r="S38" i="1"/>
  <c r="V37" i="1"/>
  <c r="W37" i="1" s="1"/>
  <c r="S41" i="4"/>
  <c r="V40" i="4"/>
  <c r="W40" i="4" s="1"/>
  <c r="D26" i="4"/>
  <c r="E26" i="4" s="1"/>
  <c r="U26" i="4" s="1"/>
  <c r="T40" i="4"/>
  <c r="P42" i="4"/>
  <c r="Q42" i="4" s="1"/>
  <c r="T41" i="4"/>
  <c r="S39" i="1" l="1"/>
  <c r="P38" i="1"/>
  <c r="Q38" i="1" s="1"/>
  <c r="T37" i="1"/>
  <c r="D29" i="1"/>
  <c r="E29" i="1" s="1"/>
  <c r="U29" i="1" s="1"/>
  <c r="C27" i="4"/>
  <c r="P43" i="4"/>
  <c r="Q43" i="4" s="1"/>
  <c r="D27" i="4"/>
  <c r="E27" i="4" s="1"/>
  <c r="U27" i="4" s="1"/>
  <c r="S42" i="4"/>
  <c r="V41" i="4"/>
  <c r="W41" i="4" s="1"/>
  <c r="C28" i="4" l="1"/>
  <c r="S40" i="1"/>
  <c r="C30" i="1"/>
  <c r="P39" i="1"/>
  <c r="Q39" i="1" s="1"/>
  <c r="T38" i="1"/>
  <c r="V38" i="1"/>
  <c r="W38" i="1" s="1"/>
  <c r="S43" i="4"/>
  <c r="T43" i="4" s="1"/>
  <c r="V42" i="4"/>
  <c r="W42" i="4" s="1"/>
  <c r="D28" i="4"/>
  <c r="E28" i="4" s="1"/>
  <c r="U28" i="4" s="1"/>
  <c r="T42" i="4"/>
  <c r="P44" i="4"/>
  <c r="Q44" i="4" s="1"/>
  <c r="D30" i="1" l="1"/>
  <c r="E30" i="1" s="1"/>
  <c r="U30" i="1" s="1"/>
  <c r="C31" i="1"/>
  <c r="P40" i="1"/>
  <c r="Q40" i="1" s="1"/>
  <c r="T39" i="1"/>
  <c r="V39" i="1"/>
  <c r="W39" i="1" s="1"/>
  <c r="S41" i="1"/>
  <c r="V40" i="1"/>
  <c r="W40" i="1" s="1"/>
  <c r="P45" i="4"/>
  <c r="Q45" i="4" s="1"/>
  <c r="C29" i="4"/>
  <c r="S44" i="4"/>
  <c r="V43" i="4"/>
  <c r="W43" i="4" s="1"/>
  <c r="S42" i="1" l="1"/>
  <c r="D31" i="1"/>
  <c r="E31" i="1" s="1"/>
  <c r="U31" i="1" s="1"/>
  <c r="P41" i="1"/>
  <c r="Q41" i="1" s="1"/>
  <c r="T40" i="1"/>
  <c r="D29" i="4"/>
  <c r="E29" i="4" s="1"/>
  <c r="U29" i="4" s="1"/>
  <c r="C30" i="4"/>
  <c r="S45" i="4"/>
  <c r="T45" i="4" s="1"/>
  <c r="V44" i="4"/>
  <c r="W44" i="4" s="1"/>
  <c r="P46" i="4"/>
  <c r="Q46" i="4" s="1"/>
  <c r="T44" i="4"/>
  <c r="T41" i="1" l="1"/>
  <c r="P42" i="1"/>
  <c r="Q42" i="1" s="1"/>
  <c r="C32" i="1"/>
  <c r="V41" i="1"/>
  <c r="W41" i="1" s="1"/>
  <c r="S43" i="1"/>
  <c r="V42" i="1"/>
  <c r="W42" i="1" s="1"/>
  <c r="P47" i="4"/>
  <c r="Q47" i="4" s="1"/>
  <c r="D30" i="4"/>
  <c r="E30" i="4" s="1"/>
  <c r="U30" i="4" s="1"/>
  <c r="S46" i="4"/>
  <c r="V45" i="4"/>
  <c r="W45" i="4" s="1"/>
  <c r="S44" i="1" l="1"/>
  <c r="D32" i="1"/>
  <c r="E32" i="1" s="1"/>
  <c r="U32" i="1" s="1"/>
  <c r="T42" i="1"/>
  <c r="P43" i="1"/>
  <c r="Q43" i="1" s="1"/>
  <c r="S47" i="4"/>
  <c r="V46" i="4"/>
  <c r="W46" i="4" s="1"/>
  <c r="C31" i="4"/>
  <c r="T47" i="4"/>
  <c r="P48" i="4"/>
  <c r="Q48" i="4" s="1"/>
  <c r="T46" i="4"/>
  <c r="T43" i="1" l="1"/>
  <c r="P44" i="1"/>
  <c r="Q44" i="1" s="1"/>
  <c r="C33" i="1"/>
  <c r="V43" i="1"/>
  <c r="W43" i="1" s="1"/>
  <c r="S45" i="1"/>
  <c r="V44" i="1"/>
  <c r="W44" i="1" s="1"/>
  <c r="P49" i="4"/>
  <c r="Q49" i="4" s="1"/>
  <c r="D31" i="4"/>
  <c r="E31" i="4" s="1"/>
  <c r="U31" i="4" s="1"/>
  <c r="S48" i="4"/>
  <c r="V47" i="4"/>
  <c r="W47" i="4" s="1"/>
  <c r="S46" i="1" l="1"/>
  <c r="D33" i="1"/>
  <c r="E33" i="1" s="1"/>
  <c r="U33" i="1" s="1"/>
  <c r="P45" i="1"/>
  <c r="Q45" i="1" s="1"/>
  <c r="T44" i="1"/>
  <c r="S49" i="4"/>
  <c r="T49" i="4" s="1"/>
  <c r="V48" i="4"/>
  <c r="W48" i="4" s="1"/>
  <c r="T48" i="4"/>
  <c r="C32" i="4"/>
  <c r="P50" i="4"/>
  <c r="Q50" i="4" s="1"/>
  <c r="P46" i="1" l="1"/>
  <c r="Q46" i="1" s="1"/>
  <c r="T45" i="1"/>
  <c r="V45" i="1"/>
  <c r="W45" i="1" s="1"/>
  <c r="C34" i="1"/>
  <c r="S47" i="1"/>
  <c r="V46" i="1"/>
  <c r="W46" i="1" s="1"/>
  <c r="P51" i="4"/>
  <c r="Q51" i="4" s="1"/>
  <c r="D32" i="4"/>
  <c r="E32" i="4" s="1"/>
  <c r="U32" i="4" s="1"/>
  <c r="S50" i="4"/>
  <c r="V49" i="4"/>
  <c r="W49" i="4" s="1"/>
  <c r="S48" i="1" l="1"/>
  <c r="D34" i="1"/>
  <c r="E34" i="1" s="1"/>
  <c r="U34" i="1" s="1"/>
  <c r="P47" i="1"/>
  <c r="Q47" i="1" s="1"/>
  <c r="T46" i="1"/>
  <c r="C33" i="4"/>
  <c r="S51" i="4"/>
  <c r="T51" i="4" s="1"/>
  <c r="V50" i="4"/>
  <c r="W50" i="4" s="1"/>
  <c r="T50" i="4"/>
  <c r="P52" i="4"/>
  <c r="Q52" i="4" s="1"/>
  <c r="T47" i="1" l="1"/>
  <c r="P48" i="1"/>
  <c r="Q48" i="1" s="1"/>
  <c r="C35" i="1"/>
  <c r="V47" i="1"/>
  <c r="W47" i="1" s="1"/>
  <c r="S49" i="1"/>
  <c r="V48" i="1"/>
  <c r="W48" i="1" s="1"/>
  <c r="P53" i="4"/>
  <c r="Q53" i="4" s="1"/>
  <c r="S52" i="4"/>
  <c r="V51" i="4"/>
  <c r="W51" i="4" s="1"/>
  <c r="D33" i="4"/>
  <c r="E33" i="4" s="1"/>
  <c r="U33" i="4" s="1"/>
  <c r="S50" i="1" l="1"/>
  <c r="P49" i="1"/>
  <c r="Q49" i="1" s="1"/>
  <c r="T48" i="1"/>
  <c r="D35" i="1"/>
  <c r="E35" i="1" s="1"/>
  <c r="U35" i="1" s="1"/>
  <c r="C34" i="4"/>
  <c r="S53" i="4"/>
  <c r="T53" i="4" s="1"/>
  <c r="V52" i="4"/>
  <c r="W52" i="4" s="1"/>
  <c r="T52" i="4"/>
  <c r="P54" i="4"/>
  <c r="Q54" i="4" s="1"/>
  <c r="T49" i="1" l="1"/>
  <c r="P50" i="1"/>
  <c r="Q50" i="1" s="1"/>
  <c r="C36" i="1"/>
  <c r="V49" i="1"/>
  <c r="W49" i="1" s="1"/>
  <c r="S51" i="1"/>
  <c r="V50" i="1"/>
  <c r="W50" i="1" s="1"/>
  <c r="P55" i="4"/>
  <c r="Q55" i="4" s="1"/>
  <c r="S54" i="4"/>
  <c r="V53" i="4"/>
  <c r="W53" i="4" s="1"/>
  <c r="D34" i="4"/>
  <c r="E34" i="4" s="1"/>
  <c r="U34" i="4" s="1"/>
  <c r="S52" i="1" l="1"/>
  <c r="P51" i="1"/>
  <c r="Q51" i="1" s="1"/>
  <c r="T50" i="1"/>
  <c r="D36" i="1"/>
  <c r="E36" i="1" s="1"/>
  <c r="U36" i="1" s="1"/>
  <c r="S55" i="4"/>
  <c r="T55" i="4" s="1"/>
  <c r="V54" i="4"/>
  <c r="W54" i="4" s="1"/>
  <c r="C35" i="4"/>
  <c r="T54" i="4"/>
  <c r="P56" i="4"/>
  <c r="Q56" i="4" s="1"/>
  <c r="C37" i="1" l="1"/>
  <c r="P52" i="1"/>
  <c r="Q52" i="1" s="1"/>
  <c r="T51" i="1"/>
  <c r="V51" i="1"/>
  <c r="W51" i="1" s="1"/>
  <c r="S53" i="1"/>
  <c r="V52" i="1"/>
  <c r="W52" i="1" s="1"/>
  <c r="P57" i="4"/>
  <c r="Q57" i="4" s="1"/>
  <c r="D35" i="4"/>
  <c r="E35" i="4" s="1"/>
  <c r="U35" i="4" s="1"/>
  <c r="S56" i="4"/>
  <c r="V55" i="4"/>
  <c r="W55" i="4" s="1"/>
  <c r="S54" i="1" l="1"/>
  <c r="P53" i="1"/>
  <c r="Q53" i="1" s="1"/>
  <c r="T52" i="1"/>
  <c r="D37" i="1"/>
  <c r="E37" i="1" s="1"/>
  <c r="U37" i="1" s="1"/>
  <c r="S57" i="4"/>
  <c r="T57" i="4" s="1"/>
  <c r="V56" i="4"/>
  <c r="W56" i="4" s="1"/>
  <c r="C36" i="4"/>
  <c r="P58" i="4"/>
  <c r="Q58" i="4" s="1"/>
  <c r="T56" i="4"/>
  <c r="P54" i="1" l="1"/>
  <c r="Q54" i="1" s="1"/>
  <c r="T53" i="1"/>
  <c r="V53" i="1"/>
  <c r="W53" i="1" s="1"/>
  <c r="C38" i="1"/>
  <c r="S55" i="1"/>
  <c r="V54" i="1"/>
  <c r="W54" i="1" s="1"/>
  <c r="D36" i="4"/>
  <c r="E36" i="4" s="1"/>
  <c r="U36" i="4" s="1"/>
  <c r="P59" i="4"/>
  <c r="Q59" i="4" s="1"/>
  <c r="S58" i="4"/>
  <c r="T58" i="4" s="1"/>
  <c r="V57" i="4"/>
  <c r="W57" i="4" s="1"/>
  <c r="S56" i="1" l="1"/>
  <c r="D38" i="1"/>
  <c r="E38" i="1" s="1"/>
  <c r="U38" i="1" s="1"/>
  <c r="P55" i="1"/>
  <c r="Q55" i="1" s="1"/>
  <c r="T54" i="1"/>
  <c r="S59" i="4"/>
  <c r="T59" i="4" s="1"/>
  <c r="V58" i="4"/>
  <c r="W58" i="4" s="1"/>
  <c r="P60" i="4"/>
  <c r="Q60" i="4" s="1"/>
  <c r="C37" i="4"/>
  <c r="P56" i="1" l="1"/>
  <c r="Q56" i="1" s="1"/>
  <c r="V56" i="1" s="1"/>
  <c r="W56" i="1" s="1"/>
  <c r="T55" i="1"/>
  <c r="C39" i="1"/>
  <c r="V55" i="1"/>
  <c r="W55" i="1" s="1"/>
  <c r="S57" i="1"/>
  <c r="D37" i="4"/>
  <c r="E37" i="4" s="1"/>
  <c r="U37" i="4" s="1"/>
  <c r="P61" i="4"/>
  <c r="Q61" i="4" s="1"/>
  <c r="S60" i="4"/>
  <c r="V59" i="4"/>
  <c r="W59" i="4" s="1"/>
  <c r="C38" i="4" l="1"/>
  <c r="S58" i="1"/>
  <c r="D39" i="1"/>
  <c r="E39" i="1" s="1"/>
  <c r="U39" i="1" s="1"/>
  <c r="P57" i="1"/>
  <c r="Q57" i="1" s="1"/>
  <c r="T56" i="1"/>
  <c r="S61" i="4"/>
  <c r="T61" i="4" s="1"/>
  <c r="V60" i="4"/>
  <c r="W60" i="4" s="1"/>
  <c r="D38" i="4"/>
  <c r="E38" i="4" s="1"/>
  <c r="U38" i="4" s="1"/>
  <c r="P62" i="4"/>
  <c r="Q62" i="4" s="1"/>
  <c r="T60" i="4"/>
  <c r="P58" i="1" l="1"/>
  <c r="Q58" i="1" s="1"/>
  <c r="V58" i="1" s="1"/>
  <c r="W58" i="1" s="1"/>
  <c r="T57" i="1"/>
  <c r="V57" i="1"/>
  <c r="W57" i="1" s="1"/>
  <c r="C40" i="1"/>
  <c r="S59" i="1"/>
  <c r="P63" i="4"/>
  <c r="Q63" i="4" s="1"/>
  <c r="C39" i="4"/>
  <c r="S62" i="4"/>
  <c r="V61" i="4"/>
  <c r="W61" i="4" s="1"/>
  <c r="D40" i="1" l="1"/>
  <c r="E40" i="1" s="1"/>
  <c r="U40" i="1" s="1"/>
  <c r="S60" i="1"/>
  <c r="P59" i="1"/>
  <c r="Q59" i="1" s="1"/>
  <c r="T58" i="1"/>
  <c r="S63" i="4"/>
  <c r="T63" i="4" s="1"/>
  <c r="V62" i="4"/>
  <c r="W62" i="4" s="1"/>
  <c r="D39" i="4"/>
  <c r="E39" i="4" s="1"/>
  <c r="U39" i="4" s="1"/>
  <c r="T62" i="4"/>
  <c r="P64" i="4"/>
  <c r="Q64" i="4" s="1"/>
  <c r="P60" i="1" l="1"/>
  <c r="Q60" i="1" s="1"/>
  <c r="V60" i="1" s="1"/>
  <c r="W60" i="1" s="1"/>
  <c r="T59" i="1"/>
  <c r="V59" i="1"/>
  <c r="W59" i="1" s="1"/>
  <c r="S61" i="1"/>
  <c r="C41" i="1"/>
  <c r="P65" i="4"/>
  <c r="Q65" i="4" s="1"/>
  <c r="C40" i="4"/>
  <c r="S64" i="4"/>
  <c r="V63" i="4"/>
  <c r="W63" i="4" s="1"/>
  <c r="D41" i="1" l="1"/>
  <c r="E41" i="1" s="1"/>
  <c r="U41" i="1" s="1"/>
  <c r="S62" i="1"/>
  <c r="T60" i="1"/>
  <c r="P61" i="1"/>
  <c r="Q61" i="1" s="1"/>
  <c r="S65" i="4"/>
  <c r="T65" i="4" s="1"/>
  <c r="V64" i="4"/>
  <c r="W64" i="4" s="1"/>
  <c r="D40" i="4"/>
  <c r="E40" i="4" s="1"/>
  <c r="U40" i="4" s="1"/>
  <c r="T64" i="4"/>
  <c r="P66" i="4"/>
  <c r="Q66" i="4" s="1"/>
  <c r="P62" i="1" l="1"/>
  <c r="Q62" i="1" s="1"/>
  <c r="T61" i="1"/>
  <c r="S63" i="1"/>
  <c r="V62" i="1"/>
  <c r="W62" i="1" s="1"/>
  <c r="V61" i="1"/>
  <c r="W61" i="1" s="1"/>
  <c r="C42" i="1"/>
  <c r="P67" i="4"/>
  <c r="Q67" i="4" s="1"/>
  <c r="C41" i="4"/>
  <c r="S66" i="4"/>
  <c r="V65" i="4"/>
  <c r="W65" i="4" s="1"/>
  <c r="D42" i="1" l="1"/>
  <c r="E42" i="1" s="1"/>
  <c r="U42" i="1" s="1"/>
  <c r="S64" i="1"/>
  <c r="P63" i="1"/>
  <c r="Q63" i="1" s="1"/>
  <c r="T62" i="1"/>
  <c r="S67" i="4"/>
  <c r="T67" i="4" s="1"/>
  <c r="V66" i="4"/>
  <c r="W66" i="4" s="1"/>
  <c r="T66" i="4"/>
  <c r="D41" i="4"/>
  <c r="E41" i="4" s="1"/>
  <c r="U41" i="4" s="1"/>
  <c r="P68" i="4"/>
  <c r="Q68" i="4" s="1"/>
  <c r="C42" i="4" l="1"/>
  <c r="S65" i="1"/>
  <c r="T63" i="1"/>
  <c r="P64" i="1"/>
  <c r="Q64" i="1" s="1"/>
  <c r="V63" i="1"/>
  <c r="W63" i="1" s="1"/>
  <c r="C43" i="1"/>
  <c r="P69" i="4"/>
  <c r="Q69" i="4" s="1"/>
  <c r="D42" i="4"/>
  <c r="E42" i="4" s="1"/>
  <c r="U42" i="4" s="1"/>
  <c r="S68" i="4"/>
  <c r="V67" i="4"/>
  <c r="W67" i="4" s="1"/>
  <c r="D43" i="1" l="1"/>
  <c r="E43" i="1" s="1"/>
  <c r="U43" i="1" s="1"/>
  <c r="P65" i="1"/>
  <c r="Q65" i="1" s="1"/>
  <c r="T64" i="1"/>
  <c r="V64" i="1"/>
  <c r="W64" i="1" s="1"/>
  <c r="S66" i="1"/>
  <c r="V65" i="1"/>
  <c r="W65" i="1" s="1"/>
  <c r="S69" i="4"/>
  <c r="T69" i="4" s="1"/>
  <c r="V68" i="4"/>
  <c r="W68" i="4" s="1"/>
  <c r="P70" i="4"/>
  <c r="Q70" i="4" s="1"/>
  <c r="C43" i="4"/>
  <c r="T68" i="4"/>
  <c r="S67" i="1" l="1"/>
  <c r="P66" i="1"/>
  <c r="Q66" i="1" s="1"/>
  <c r="T65" i="1"/>
  <c r="C44" i="1"/>
  <c r="D43" i="4"/>
  <c r="E43" i="4" s="1"/>
  <c r="U43" i="4" s="1"/>
  <c r="S70" i="4"/>
  <c r="V70" i="4" s="1"/>
  <c r="W70" i="4" s="1"/>
  <c r="V69" i="4"/>
  <c r="W69" i="4" s="1"/>
  <c r="D44" i="1" l="1"/>
  <c r="E44" i="1" s="1"/>
  <c r="U44" i="1" s="1"/>
  <c r="P67" i="1"/>
  <c r="Q67" i="1" s="1"/>
  <c r="T66" i="1"/>
  <c r="V66" i="1"/>
  <c r="W66" i="1" s="1"/>
  <c r="S68" i="1"/>
  <c r="V67" i="1"/>
  <c r="W67" i="1" s="1"/>
  <c r="C44" i="4"/>
  <c r="T70" i="4"/>
  <c r="S69" i="1" l="1"/>
  <c r="P68" i="1"/>
  <c r="Q68" i="1" s="1"/>
  <c r="V68" i="1" s="1"/>
  <c r="W68" i="1" s="1"/>
  <c r="T67" i="1"/>
  <c r="C45" i="1"/>
  <c r="D44" i="4"/>
  <c r="E44" i="4" s="1"/>
  <c r="U44" i="4" s="1"/>
  <c r="D45" i="1" l="1"/>
  <c r="E45" i="1" s="1"/>
  <c r="U45" i="1" s="1"/>
  <c r="P69" i="1"/>
  <c r="Q69" i="1" s="1"/>
  <c r="T69" i="1" s="1"/>
  <c r="T68" i="1"/>
  <c r="C45" i="4"/>
  <c r="V69" i="1" l="1"/>
  <c r="W69" i="1" s="1"/>
  <c r="C46" i="1"/>
  <c r="D45" i="4"/>
  <c r="E45" i="4" s="1"/>
  <c r="U45" i="4" s="1"/>
  <c r="C46" i="4"/>
  <c r="D46" i="1" l="1"/>
  <c r="E46" i="1" s="1"/>
  <c r="U46" i="1" s="1"/>
  <c r="D46" i="4"/>
  <c r="E46" i="4" s="1"/>
  <c r="U46" i="4" s="1"/>
  <c r="C47" i="1" l="1"/>
  <c r="C47" i="4"/>
  <c r="D47" i="1" l="1"/>
  <c r="E47" i="1" s="1"/>
  <c r="U47" i="1" s="1"/>
  <c r="C48" i="1"/>
  <c r="D47" i="4"/>
  <c r="E47" i="4" s="1"/>
  <c r="U47" i="4" s="1"/>
  <c r="C48" i="4"/>
  <c r="D48" i="1" l="1"/>
  <c r="E48" i="1" s="1"/>
  <c r="U48" i="1" s="1"/>
  <c r="D48" i="4"/>
  <c r="E48" i="4" s="1"/>
  <c r="U48" i="4" s="1"/>
  <c r="C49" i="1" l="1"/>
  <c r="C49" i="4"/>
  <c r="D49" i="1" l="1"/>
  <c r="E49" i="1" s="1"/>
  <c r="U49" i="1" s="1"/>
  <c r="D49" i="4"/>
  <c r="E49" i="4" s="1"/>
  <c r="U49" i="4" s="1"/>
  <c r="C50" i="4" l="1"/>
  <c r="D50" i="4" s="1"/>
  <c r="E50" i="4" s="1"/>
  <c r="U50" i="4" s="1"/>
  <c r="C50" i="1"/>
  <c r="D50" i="1" l="1"/>
  <c r="E50" i="1" s="1"/>
  <c r="U50" i="1" s="1"/>
  <c r="C51" i="4"/>
  <c r="C51" i="1" l="1"/>
  <c r="D51" i="4"/>
  <c r="E51" i="4" s="1"/>
  <c r="U51" i="4" s="1"/>
  <c r="C52" i="4"/>
  <c r="D51" i="1" l="1"/>
  <c r="E51" i="1" s="1"/>
  <c r="U51" i="1" s="1"/>
  <c r="D52" i="4"/>
  <c r="E52" i="4" s="1"/>
  <c r="U52" i="4" s="1"/>
  <c r="C52" i="1" l="1"/>
  <c r="C53" i="4"/>
  <c r="D52" i="1" l="1"/>
  <c r="E52" i="1" s="1"/>
  <c r="U52" i="1" s="1"/>
  <c r="D53" i="4"/>
  <c r="E53" i="4" s="1"/>
  <c r="U53" i="4" s="1"/>
  <c r="C54" i="4" l="1"/>
  <c r="D54" i="4" s="1"/>
  <c r="E54" i="4" s="1"/>
  <c r="U54" i="4" s="1"/>
  <c r="C53" i="1"/>
  <c r="D53" i="1" l="1"/>
  <c r="E53" i="1" s="1"/>
  <c r="U53" i="1" s="1"/>
  <c r="C55" i="4"/>
  <c r="C54" i="1" l="1"/>
  <c r="D55" i="4"/>
  <c r="E55" i="4" s="1"/>
  <c r="U55" i="4" s="1"/>
  <c r="D54" i="1" l="1"/>
  <c r="E54" i="1" s="1"/>
  <c r="U54" i="1" s="1"/>
  <c r="C56" i="4"/>
  <c r="D56" i="4" s="1"/>
  <c r="E56" i="4" s="1"/>
  <c r="U56" i="4" s="1"/>
  <c r="C55" i="1" l="1"/>
  <c r="C57" i="4"/>
  <c r="D55" i="1" l="1"/>
  <c r="E55" i="1" s="1"/>
  <c r="U55" i="1" s="1"/>
  <c r="D57" i="4"/>
  <c r="E57" i="4" s="1"/>
  <c r="U57" i="4" s="1"/>
  <c r="C56" i="1" l="1"/>
  <c r="C58" i="4"/>
  <c r="D58" i="4"/>
  <c r="E58" i="4" s="1"/>
  <c r="U58" i="4" s="1"/>
  <c r="D56" i="1" l="1"/>
  <c r="E56" i="1" s="1"/>
  <c r="U56" i="1" s="1"/>
  <c r="C59" i="4"/>
  <c r="C57" i="1" l="1"/>
  <c r="D57" i="1"/>
  <c r="E57" i="1" s="1"/>
  <c r="U57" i="1" s="1"/>
  <c r="D59" i="4"/>
  <c r="E59" i="4" s="1"/>
  <c r="U59" i="4" s="1"/>
  <c r="C58" i="1" l="1"/>
  <c r="D58" i="1"/>
  <c r="E58" i="1" s="1"/>
  <c r="U58" i="1" s="1"/>
  <c r="C60" i="4"/>
  <c r="D60" i="4" s="1"/>
  <c r="E60" i="4" s="1"/>
  <c r="U60" i="4" s="1"/>
  <c r="C59" i="1" l="1"/>
  <c r="C61" i="4"/>
  <c r="D59" i="1" l="1"/>
  <c r="E59" i="1" s="1"/>
  <c r="U59" i="1" s="1"/>
  <c r="D61" i="4"/>
  <c r="E61" i="4" s="1"/>
  <c r="U61" i="4" s="1"/>
  <c r="C60" i="1" l="1"/>
  <c r="C62" i="4"/>
  <c r="D62" i="4" s="1"/>
  <c r="E62" i="4" s="1"/>
  <c r="U62" i="4" s="1"/>
  <c r="D60" i="1" l="1"/>
  <c r="E60" i="1" s="1"/>
  <c r="U60" i="1" s="1"/>
  <c r="C63" i="4"/>
  <c r="C61" i="1" l="1"/>
  <c r="D63" i="4"/>
  <c r="E63" i="4" s="1"/>
  <c r="U63" i="4" s="1"/>
  <c r="D61" i="1" l="1"/>
  <c r="E61" i="1" s="1"/>
  <c r="U61" i="1" s="1"/>
  <c r="C64" i="4"/>
  <c r="D64" i="4" s="1"/>
  <c r="E64" i="4" s="1"/>
  <c r="U64" i="4" s="1"/>
  <c r="C62" i="1" l="1"/>
  <c r="C65" i="4"/>
  <c r="D62" i="1" l="1"/>
  <c r="E62" i="1" s="1"/>
  <c r="U62" i="1" s="1"/>
  <c r="D65" i="4"/>
  <c r="E65" i="4" s="1"/>
  <c r="U65" i="4" s="1"/>
  <c r="C63" i="1" l="1"/>
  <c r="C66" i="4"/>
  <c r="D66" i="4" s="1"/>
  <c r="E66" i="4" s="1"/>
  <c r="U66" i="4" s="1"/>
  <c r="D63" i="1" l="1"/>
  <c r="E63" i="1" s="1"/>
  <c r="U63" i="1" s="1"/>
  <c r="C67" i="4"/>
  <c r="C64" i="1" l="1"/>
  <c r="D67" i="4"/>
  <c r="E67" i="4" s="1"/>
  <c r="U67" i="4" s="1"/>
  <c r="D64" i="1" l="1"/>
  <c r="E64" i="1" s="1"/>
  <c r="U64" i="1" s="1"/>
  <c r="C68" i="4"/>
  <c r="D68" i="4" s="1"/>
  <c r="E68" i="4" s="1"/>
  <c r="U68" i="4" s="1"/>
  <c r="C65" i="1" l="1"/>
  <c r="C69" i="4"/>
  <c r="D65" i="1" l="1"/>
  <c r="E65" i="1" s="1"/>
  <c r="U65" i="1" s="1"/>
  <c r="D69" i="4"/>
  <c r="E69" i="4" s="1"/>
  <c r="U69" i="4" s="1"/>
  <c r="C66" i="1" l="1"/>
  <c r="C70" i="4"/>
  <c r="D70" i="4" s="1"/>
  <c r="E70" i="4" s="1"/>
  <c r="U70" i="4" s="1"/>
  <c r="D66" i="1" l="1"/>
  <c r="E66" i="1" s="1"/>
  <c r="U66" i="1" s="1"/>
  <c r="C67" i="1" l="1"/>
  <c r="D67" i="1" l="1"/>
  <c r="E67" i="1" s="1"/>
  <c r="U67" i="1" s="1"/>
  <c r="C68" i="1" l="1"/>
  <c r="D68" i="1" l="1"/>
  <c r="E68" i="1" s="1"/>
  <c r="U68" i="1" s="1"/>
  <c r="C69" i="1" l="1"/>
  <c r="D69" i="1" s="1"/>
  <c r="E69" i="1" s="1"/>
  <c r="U69" i="1" s="1"/>
</calcChain>
</file>

<file path=xl/sharedStrings.xml><?xml version="1.0" encoding="utf-8"?>
<sst xmlns="http://schemas.openxmlformats.org/spreadsheetml/2006/main" count="186" uniqueCount="99">
  <si>
    <t>姓名</t>
  </si>
  <si>
    <t>年龄</t>
  </si>
  <si>
    <t>总保费</t>
  </si>
  <si>
    <t>性别</t>
  </si>
  <si>
    <t>交期</t>
  </si>
  <si>
    <t>年度</t>
  </si>
  <si>
    <t>客户年龄</t>
  </si>
  <si>
    <t>一年定存利率</t>
  </si>
  <si>
    <t>继续存</t>
  </si>
  <si>
    <t>转存利益表</t>
  </si>
  <si>
    <t>万能追加</t>
  </si>
  <si>
    <t>XJHB</t>
  </si>
  <si>
    <t>收益提升</t>
  </si>
  <si>
    <t>流动性</t>
  </si>
  <si>
    <t>原账户金额</t>
  </si>
  <si>
    <t>当年收益</t>
  </si>
  <si>
    <t>累计收益</t>
  </si>
  <si>
    <t>原账户</t>
  </si>
  <si>
    <t>首期</t>
  </si>
  <si>
    <t>保证现价</t>
  </si>
  <si>
    <t>当年红利</t>
  </si>
  <si>
    <t>累计红利</t>
  </si>
  <si>
    <t>主险生存总利益</t>
  </si>
  <si>
    <t>万能累计收益</t>
  </si>
  <si>
    <t>特别</t>
  </si>
  <si>
    <t>金额</t>
  </si>
  <si>
    <t>合计收益</t>
  </si>
  <si>
    <t>提升幅度</t>
  </si>
  <si>
    <t>总流动</t>
  </si>
  <si>
    <t>流动比率</t>
  </si>
  <si>
    <t>客户性别</t>
  </si>
  <si>
    <t>女</t>
  </si>
  <si>
    <t>前三年保费由存款支付，后续保费由万能账户转出支付</t>
  </si>
  <si>
    <t>万能账户按当前2.9%结算利率计算，考虑追加及前五年转出费用，不考虑保障成本</t>
  </si>
  <si>
    <t>建议为0，以现场补贴为促成理由</t>
  </si>
  <si>
    <t>交期及总保费必填</t>
  </si>
  <si>
    <t>累计增值</t>
  </si>
  <si>
    <t>相对提升幅度</t>
  </si>
  <si>
    <r>
      <rPr>
        <b/>
        <sz val="10"/>
        <color rgb="FFFFFFFF"/>
        <rFont val="Microsoft YaHei"/>
        <charset val="134"/>
      </rPr>
      <t>分红：红利利益演示 万能：万能账户3%结算利益演示（利益演示共4种情形，本演示为其中一种）</t>
    </r>
  </si>
  <si>
    <r>
      <rPr>
        <sz val="7"/>
        <rFont val="Microsoft YaHei"/>
        <charset val="134"/>
      </rPr>
      <t>保单年度</t>
    </r>
  </si>
  <si>
    <r>
      <rPr>
        <sz val="7"/>
        <rFont val="Microsoft YaHei"/>
        <charset val="134"/>
      </rPr>
      <t>被保险人年龄</t>
    </r>
  </si>
  <si>
    <r>
      <rPr>
        <sz val="7"/>
        <rFont val="Microsoft YaHei"/>
        <charset val="134"/>
      </rPr>
      <t>期交保费</t>
    </r>
  </si>
  <si>
    <r>
      <rPr>
        <sz val="7"/>
        <rFont val="Microsoft YaHei"/>
        <charset val="134"/>
      </rPr>
      <t>累计保费</t>
    </r>
  </si>
  <si>
    <r>
      <rPr>
        <sz val="7"/>
        <rFont val="Microsoft YaHei"/>
        <charset val="134"/>
      </rPr>
      <t>金尊分红司庆</t>
    </r>
  </si>
  <si>
    <r>
      <rPr>
        <sz val="7"/>
        <rFont val="Microsoft YaHei"/>
        <charset val="134"/>
      </rPr>
      <t>招财宝26</t>
    </r>
  </si>
  <si>
    <r>
      <rPr>
        <sz val="7"/>
        <rFont val="Microsoft YaHei"/>
        <charset val="134"/>
      </rPr>
      <t>组合利益</t>
    </r>
  </si>
  <si>
    <r>
      <rPr>
        <sz val="7"/>
        <rFont val="Microsoft YaHei"/>
        <charset val="134"/>
      </rPr>
      <t xml:space="preserve">现金价值
</t>
    </r>
    <r>
      <rPr>
        <sz val="7"/>
        <rFont val="Microsoft YaHei"/>
        <charset val="134"/>
      </rPr>
      <t>（退保金）</t>
    </r>
  </si>
  <si>
    <r>
      <rPr>
        <sz val="7"/>
        <rFont val="Microsoft YaHei"/>
        <charset val="134"/>
      </rPr>
      <t>身故保险金</t>
    </r>
  </si>
  <si>
    <r>
      <rPr>
        <sz val="7"/>
        <rFont val="Microsoft YaHei"/>
        <charset val="134"/>
      </rPr>
      <t xml:space="preserve">当年红利
</t>
    </r>
    <r>
      <rPr>
        <sz val="7"/>
        <rFont val="Microsoft YaHei"/>
        <charset val="134"/>
      </rPr>
      <t xml:space="preserve">（转入万能
</t>
    </r>
    <r>
      <rPr>
        <sz val="7"/>
        <rFont val="Microsoft YaHei"/>
        <charset val="134"/>
      </rPr>
      <t>账户）</t>
    </r>
  </si>
  <si>
    <r>
      <rPr>
        <sz val="7"/>
        <rFont val="Microsoft YaHei"/>
        <charset val="134"/>
      </rPr>
      <t>累计红利</t>
    </r>
  </si>
  <si>
    <r>
      <rPr>
        <sz val="7"/>
        <rFont val="Microsoft YaHei"/>
        <charset val="134"/>
      </rPr>
      <t xml:space="preserve">趸交及追加
</t>
    </r>
    <r>
      <rPr>
        <sz val="7"/>
        <rFont val="Microsoft YaHei"/>
        <charset val="134"/>
      </rPr>
      <t>保费</t>
    </r>
  </si>
  <si>
    <r>
      <rPr>
        <sz val="7"/>
        <rFont val="Microsoft YaHei"/>
        <charset val="134"/>
      </rPr>
      <t xml:space="preserve">趸交及追加
</t>
    </r>
    <r>
      <rPr>
        <sz val="7"/>
        <rFont val="Microsoft YaHei"/>
        <charset val="134"/>
      </rPr>
      <t xml:space="preserve">保费初始费
</t>
    </r>
    <r>
      <rPr>
        <sz val="7"/>
        <rFont val="Microsoft YaHei"/>
        <charset val="134"/>
      </rPr>
      <t>用</t>
    </r>
  </si>
  <si>
    <r>
      <rPr>
        <sz val="7"/>
        <rFont val="Microsoft YaHei"/>
        <charset val="134"/>
      </rPr>
      <t>当年转入保费</t>
    </r>
  </si>
  <si>
    <r>
      <rPr>
        <sz val="7"/>
        <rFont val="Microsoft YaHei"/>
        <charset val="134"/>
      </rPr>
      <t xml:space="preserve">当年进入万
</t>
    </r>
    <r>
      <rPr>
        <sz val="7"/>
        <rFont val="Microsoft YaHei"/>
        <charset val="134"/>
      </rPr>
      <t>能账户价值</t>
    </r>
  </si>
  <si>
    <r>
      <rPr>
        <sz val="7"/>
        <rFont val="Microsoft YaHei"/>
        <charset val="134"/>
      </rPr>
      <t>万能账户价值</t>
    </r>
  </si>
  <si>
    <r>
      <rPr>
        <sz val="7"/>
        <rFont val="Microsoft YaHei"/>
        <charset val="134"/>
      </rPr>
      <t>生存总利益</t>
    </r>
  </si>
  <si>
    <r>
      <rPr>
        <sz val="7"/>
        <rFont val="Microsoft YaHei"/>
        <charset val="134"/>
      </rPr>
      <t xml:space="preserve">生存总利益
</t>
    </r>
    <r>
      <rPr>
        <sz val="7"/>
        <rFont val="Microsoft YaHei"/>
        <charset val="134"/>
      </rPr>
      <t>增长率（%）</t>
    </r>
  </si>
  <si>
    <r>
      <rPr>
        <sz val="7"/>
        <rFont val="Microsoft YaHei"/>
        <charset val="134"/>
      </rPr>
      <t>身故总利益</t>
    </r>
  </si>
  <si>
    <r>
      <rPr>
        <sz val="7"/>
        <rFont val="Microsoft YaHei"/>
        <charset val="134"/>
      </rPr>
      <t xml:space="preserve">累计趸交及
</t>
    </r>
    <r>
      <rPr>
        <sz val="7"/>
        <rFont val="Microsoft YaHei"/>
        <charset val="134"/>
      </rPr>
      <t>追加保费</t>
    </r>
  </si>
  <si>
    <r>
      <rPr>
        <sz val="7"/>
        <rFont val="Microsoft YaHei"/>
        <charset val="134"/>
      </rPr>
      <t>保单持续奖励</t>
    </r>
  </si>
  <si>
    <r>
      <rPr>
        <sz val="7"/>
        <rFont val="Microsoft YaHei"/>
        <charset val="134"/>
      </rPr>
      <t xml:space="preserve">转入保费初
</t>
    </r>
    <r>
      <rPr>
        <sz val="7"/>
        <rFont val="Microsoft YaHei"/>
        <charset val="134"/>
      </rPr>
      <t>始费用</t>
    </r>
  </si>
  <si>
    <r>
      <rPr>
        <sz val="7"/>
        <rFont val="Microsoft YaHei"/>
        <charset val="134"/>
      </rPr>
      <t>保障成本</t>
    </r>
  </si>
  <si>
    <r>
      <rPr>
        <sz val="7"/>
        <rFont val="Microsoft YaHei"/>
        <charset val="134"/>
      </rPr>
      <t>现金价值</t>
    </r>
  </si>
  <si>
    <t>总额保持一致，逐年进行资产优化，实现收益提升</t>
    <phoneticPr fontId="10" type="noConversion"/>
  </si>
  <si>
    <r>
      <rPr>
        <sz val="6"/>
        <rFont val="Microsoft YaHei"/>
        <family val="2"/>
        <charset val="134"/>
      </rPr>
      <t>--</t>
    </r>
  </si>
  <si>
    <t>女</t>
    <phoneticPr fontId="10" type="noConversion"/>
  </si>
  <si>
    <r>
      <rPr>
        <sz val="7"/>
        <rFont val="Microsoft YaHei"/>
        <family val="2"/>
        <charset val="134"/>
      </rPr>
      <t>保单年度</t>
    </r>
  </si>
  <si>
    <r>
      <rPr>
        <sz val="7"/>
        <rFont val="Microsoft YaHei"/>
        <family val="2"/>
        <charset val="134"/>
      </rPr>
      <t xml:space="preserve">被保险人年
</t>
    </r>
    <r>
      <rPr>
        <sz val="7"/>
        <rFont val="Microsoft YaHei"/>
        <family val="2"/>
        <charset val="134"/>
      </rPr>
      <t>龄</t>
    </r>
  </si>
  <si>
    <r>
      <rPr>
        <sz val="7"/>
        <rFont val="Microsoft YaHei"/>
        <family val="2"/>
        <charset val="134"/>
      </rPr>
      <t>期交保费</t>
    </r>
  </si>
  <si>
    <r>
      <rPr>
        <sz val="7"/>
        <rFont val="Microsoft YaHei"/>
        <family val="2"/>
        <charset val="134"/>
      </rPr>
      <t>累计保费</t>
    </r>
  </si>
  <si>
    <r>
      <rPr>
        <sz val="7"/>
        <rFont val="Microsoft YaHei"/>
        <family val="2"/>
        <charset val="134"/>
      </rPr>
      <t>金尊分红司庆</t>
    </r>
  </si>
  <si>
    <r>
      <rPr>
        <sz val="7"/>
        <rFont val="Microsoft YaHei"/>
        <family val="2"/>
        <charset val="134"/>
      </rPr>
      <t>招财宝26</t>
    </r>
  </si>
  <si>
    <r>
      <rPr>
        <sz val="7"/>
        <rFont val="Microsoft YaHei"/>
        <family val="2"/>
        <charset val="134"/>
      </rPr>
      <t>组合利益</t>
    </r>
  </si>
  <si>
    <r>
      <rPr>
        <sz val="7"/>
        <rFont val="Microsoft YaHei"/>
        <family val="2"/>
        <charset val="134"/>
      </rPr>
      <t xml:space="preserve">现金价值
</t>
    </r>
    <r>
      <rPr>
        <sz val="7"/>
        <rFont val="Microsoft YaHei"/>
        <family val="2"/>
        <charset val="134"/>
      </rPr>
      <t>（退保金）</t>
    </r>
  </si>
  <si>
    <r>
      <rPr>
        <sz val="7"/>
        <rFont val="Microsoft YaHei"/>
        <family val="2"/>
        <charset val="134"/>
      </rPr>
      <t>身故保险金</t>
    </r>
  </si>
  <si>
    <r>
      <rPr>
        <sz val="7"/>
        <rFont val="Microsoft YaHei"/>
        <family val="2"/>
        <charset val="134"/>
      </rPr>
      <t xml:space="preserve">当年红利
</t>
    </r>
    <r>
      <rPr>
        <sz val="7"/>
        <rFont val="Microsoft YaHei"/>
        <family val="2"/>
        <charset val="134"/>
      </rPr>
      <t xml:space="preserve">（转入万能
</t>
    </r>
    <r>
      <rPr>
        <sz val="7"/>
        <rFont val="Microsoft YaHei"/>
        <family val="2"/>
        <charset val="134"/>
      </rPr>
      <t>账户）</t>
    </r>
  </si>
  <si>
    <r>
      <rPr>
        <sz val="7"/>
        <rFont val="Microsoft YaHei"/>
        <family val="2"/>
        <charset val="134"/>
      </rPr>
      <t>累计红利</t>
    </r>
  </si>
  <si>
    <r>
      <rPr>
        <sz val="7"/>
        <rFont val="Microsoft YaHei"/>
        <family val="2"/>
        <charset val="134"/>
      </rPr>
      <t xml:space="preserve">趸交及追加
</t>
    </r>
    <r>
      <rPr>
        <sz val="7"/>
        <rFont val="Microsoft YaHei"/>
        <family val="2"/>
        <charset val="134"/>
      </rPr>
      <t>保费</t>
    </r>
  </si>
  <si>
    <r>
      <rPr>
        <sz val="7"/>
        <rFont val="Microsoft YaHei"/>
        <family val="2"/>
        <charset val="134"/>
      </rPr>
      <t xml:space="preserve">趸交及追加
</t>
    </r>
    <r>
      <rPr>
        <sz val="7"/>
        <rFont val="Microsoft YaHei"/>
        <family val="2"/>
        <charset val="134"/>
      </rPr>
      <t xml:space="preserve">保费初始费
</t>
    </r>
    <r>
      <rPr>
        <sz val="7"/>
        <rFont val="Microsoft YaHei"/>
        <family val="2"/>
        <charset val="134"/>
      </rPr>
      <t>用</t>
    </r>
  </si>
  <si>
    <r>
      <rPr>
        <sz val="7"/>
        <rFont val="Microsoft YaHei"/>
        <family val="2"/>
        <charset val="134"/>
      </rPr>
      <t xml:space="preserve">当年转入保
</t>
    </r>
    <r>
      <rPr>
        <sz val="7"/>
        <rFont val="Microsoft YaHei"/>
        <family val="2"/>
        <charset val="134"/>
      </rPr>
      <t>费</t>
    </r>
  </si>
  <si>
    <r>
      <rPr>
        <sz val="7"/>
        <rFont val="Microsoft YaHei"/>
        <family val="2"/>
        <charset val="134"/>
      </rPr>
      <t xml:space="preserve">当年进入万
</t>
    </r>
    <r>
      <rPr>
        <sz val="7"/>
        <rFont val="Microsoft YaHei"/>
        <family val="2"/>
        <charset val="134"/>
      </rPr>
      <t>能账户价值</t>
    </r>
  </si>
  <si>
    <r>
      <rPr>
        <sz val="7"/>
        <rFont val="Microsoft YaHei"/>
        <family val="2"/>
        <charset val="134"/>
      </rPr>
      <t xml:space="preserve">万能账户价
</t>
    </r>
    <r>
      <rPr>
        <sz val="7"/>
        <rFont val="Microsoft YaHei"/>
        <family val="2"/>
        <charset val="134"/>
      </rPr>
      <t>值</t>
    </r>
  </si>
  <si>
    <r>
      <rPr>
        <sz val="7"/>
        <rFont val="Microsoft YaHei"/>
        <family val="2"/>
        <charset val="134"/>
      </rPr>
      <t>生存总利益</t>
    </r>
  </si>
  <si>
    <r>
      <rPr>
        <sz val="7"/>
        <rFont val="Microsoft YaHei"/>
        <family val="2"/>
        <charset val="134"/>
      </rPr>
      <t xml:space="preserve">生存总利益
</t>
    </r>
    <r>
      <rPr>
        <sz val="7"/>
        <rFont val="Microsoft YaHei"/>
        <family val="2"/>
        <charset val="134"/>
      </rPr>
      <t>增长率（%）</t>
    </r>
  </si>
  <si>
    <r>
      <rPr>
        <sz val="7"/>
        <rFont val="Microsoft YaHei"/>
        <family val="2"/>
        <charset val="134"/>
      </rPr>
      <t>身故总利益</t>
    </r>
  </si>
  <si>
    <r>
      <rPr>
        <sz val="7"/>
        <rFont val="Microsoft YaHei"/>
        <family val="2"/>
        <charset val="134"/>
      </rPr>
      <t xml:space="preserve">累计趸交及
</t>
    </r>
    <r>
      <rPr>
        <sz val="7"/>
        <rFont val="Microsoft YaHei"/>
        <family val="2"/>
        <charset val="134"/>
      </rPr>
      <t>追加保费</t>
    </r>
  </si>
  <si>
    <r>
      <rPr>
        <sz val="7"/>
        <rFont val="Microsoft YaHei"/>
        <family val="2"/>
        <charset val="134"/>
      </rPr>
      <t xml:space="preserve">保单持续奖
</t>
    </r>
    <r>
      <rPr>
        <sz val="7"/>
        <rFont val="Microsoft YaHei"/>
        <family val="2"/>
        <charset val="134"/>
      </rPr>
      <t>励</t>
    </r>
  </si>
  <si>
    <r>
      <rPr>
        <sz val="7"/>
        <rFont val="Microsoft YaHei"/>
        <family val="2"/>
        <charset val="134"/>
      </rPr>
      <t xml:space="preserve">转入保费初
</t>
    </r>
    <r>
      <rPr>
        <sz val="7"/>
        <rFont val="Microsoft YaHei"/>
        <family val="2"/>
        <charset val="134"/>
      </rPr>
      <t>始费用</t>
    </r>
  </si>
  <si>
    <r>
      <rPr>
        <sz val="7"/>
        <rFont val="Microsoft YaHei"/>
        <family val="2"/>
        <charset val="134"/>
      </rPr>
      <t>保障成本</t>
    </r>
  </si>
  <si>
    <r>
      <rPr>
        <sz val="7"/>
        <rFont val="Microsoft YaHei"/>
        <family val="2"/>
        <charset val="134"/>
      </rPr>
      <t>现金价值</t>
    </r>
  </si>
  <si>
    <r>
      <rPr>
        <b/>
        <sz val="11"/>
        <color rgb="FFFF0000"/>
        <rFont val="微软雅黑"/>
        <family val="2"/>
        <charset val="134"/>
      </rPr>
      <t xml:space="preserve">优化: </t>
    </r>
    <r>
      <rPr>
        <b/>
        <sz val="11"/>
        <color theme="1"/>
        <rFont val="微软雅黑"/>
        <family val="2"/>
        <charset val="134"/>
      </rPr>
      <t>次年提升160%
         第3年提升184%
           …...
         第20年提升255%</t>
    </r>
    <phoneticPr fontId="10" type="noConversion"/>
  </si>
  <si>
    <t>通用转存演示：金尊分红司庆，以45岁女性为例</t>
    <phoneticPr fontId="10" type="noConversion"/>
  </si>
  <si>
    <r>
      <rPr>
        <sz val="7"/>
        <color rgb="FF7D736F"/>
        <rFont val="Microsoft YaHei"/>
        <family val="2"/>
        <charset val="134"/>
      </rPr>
      <t xml:space="preserve">    郑重声明：本保险产品计划单位为人民币元，假定被保险人为标准体，所列产品、费率、基本保险金额等与保险合同不一定一致，有关产品细责 及权利、义务、责任免除等事宜的说明、解释、承诺或保证等，请以保险合同为准。
</t>
    </r>
    <r>
      <rPr>
        <sz val="7"/>
        <color rgb="FF7D736F"/>
        <rFont val="Microsoft YaHei"/>
        <family val="2"/>
        <charset val="134"/>
      </rPr>
      <t xml:space="preserve">本保险产品计划标识号为 W(002)-ABCDCA-946A06-6C7649-5D9918-709EC4-238ECA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7D736F"/>
        <rFont val="Microsoft YaHei"/>
        <family val="2"/>
        <charset val="134"/>
      </rPr>
      <t>9/25</t>
    </r>
  </si>
  <si>
    <r>
      <rPr>
        <sz val="9"/>
        <rFont val="Microsoft YaHei"/>
        <family val="2"/>
        <charset val="134"/>
      </rPr>
      <t xml:space="preserve">苏女士 平安保险产品计划
</t>
    </r>
    <r>
      <rPr>
        <sz val="9"/>
        <rFont val="Microsoft YaHei"/>
        <family val="2"/>
        <charset val="134"/>
      </rPr>
      <t>代理人：农桂婷 业务员代码：1142360973</t>
    </r>
  </si>
  <si>
    <r>
      <rPr>
        <sz val="7"/>
        <color rgb="FF7D736F"/>
        <rFont val="Microsoft YaHei"/>
        <family val="2"/>
        <charset val="134"/>
      </rPr>
      <t xml:space="preserve">    郑重声明：本保险产品计划单位为人民币元，假定被保险人为标准体，所列产品、费率、基本保险金额等与保险合同不一定一致，有关产品细责 及权利、义务、责任免除等事宜的说明、解释、承诺或保证等，请以保险合同为准。
</t>
    </r>
    <r>
      <rPr>
        <sz val="7"/>
        <color rgb="FF7D736F"/>
        <rFont val="Microsoft YaHei"/>
        <family val="2"/>
        <charset val="134"/>
      </rPr>
      <t xml:space="preserve">本保险产品计划标识号为 W(002)-ABCDCA-946A06-6C7649-5D9918-709EC4-238ECA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7D736F"/>
        <rFont val="Microsoft YaHei"/>
        <family val="2"/>
        <charset val="134"/>
      </rPr>
      <t>10/25</t>
    </r>
  </si>
  <si>
    <r>
      <rPr>
        <sz val="7"/>
        <color rgb="FF7D736F"/>
        <rFont val="Microsoft YaHei"/>
        <family val="2"/>
        <charset val="134"/>
      </rPr>
      <t xml:space="preserve">    郑重声明：本保险产品计划单位为人民币元，假定被保险人为标准体，所列产品、费率、基本保险金额等与保险合同不一定一致，有关产品细责 及权利、义务、责任免除等事宜的说明、解释、承诺或保证等，请以保险合同为准。
</t>
    </r>
    <r>
      <rPr>
        <sz val="7"/>
        <color rgb="FF7D736F"/>
        <rFont val="Microsoft YaHei"/>
        <family val="2"/>
        <charset val="134"/>
      </rPr>
      <t xml:space="preserve">本保险产品计划标识号为 W(002)-ABCDCA-946A06-6C7649-5D9918-709EC4-238ECA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7D736F"/>
        <rFont val="Microsoft YaHei"/>
        <family val="2"/>
        <charset val="134"/>
      </rPr>
      <t>11/25</t>
    </r>
  </si>
  <si>
    <r>
      <rPr>
        <sz val="7"/>
        <rFont val="Microsoft YaHei"/>
        <family val="2"/>
        <charset val="134"/>
      </rPr>
      <t xml:space="preserve">当年转入保
</t>
    </r>
    <r>
      <rPr>
        <sz val="7"/>
        <rFont val="Microsoft YaHei"/>
        <family val="2"/>
        <charset val="134"/>
      </rPr>
      <t xml:space="preserve">        费</t>
    </r>
  </si>
  <si>
    <r>
      <rPr>
        <sz val="7"/>
        <rFont val="Microsoft YaHei"/>
        <family val="2"/>
        <charset val="134"/>
      </rPr>
      <t xml:space="preserve">万能账户价
</t>
    </r>
    <r>
      <rPr>
        <sz val="7"/>
        <rFont val="Microsoft YaHei"/>
        <family val="2"/>
        <charset val="134"/>
      </rPr>
      <t xml:space="preserve">        值</t>
    </r>
  </si>
  <si>
    <r>
      <rPr>
        <sz val="7"/>
        <rFont val="Microsoft YaHei"/>
        <family val="2"/>
        <charset val="134"/>
      </rPr>
      <t xml:space="preserve">转入保费初
</t>
    </r>
    <r>
      <rPr>
        <sz val="7"/>
        <rFont val="Microsoft YaHei"/>
        <family val="2"/>
        <charset val="134"/>
      </rPr>
      <t xml:space="preserve">     始费用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</si>
</sst>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_ "/>
    <numFmt numFmtId="177" formatCode="0.00_ "/>
    <numFmt numFmtId="178" formatCode="0_);[Red]\(0\)"/>
  </numFmts>
  <fonts count="26">
    <font>
      <sz val="11"/>
      <color theme="1"/>
      <name val="宋体"/>
      <charset val="134"/>
      <scheme val="minor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7"/>
      <color rgb="FF000000"/>
      <name val="Arial"/>
      <family val="2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7"/>
      <name val="Microsoft YaHei"/>
      <charset val="134"/>
    </font>
    <font>
      <b/>
      <sz val="10"/>
      <color rgb="FFFFFFFF"/>
      <name val="Microsoft YaHei"/>
      <charset val="134"/>
    </font>
    <font>
      <sz val="9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8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sz val="6"/>
      <color rgb="FF000000"/>
      <name val="Microsoft YaHei"/>
      <family val="2"/>
      <charset val="134"/>
    </font>
    <font>
      <sz val="6"/>
      <name val="Microsoft YaHei"/>
      <family val="2"/>
      <charset val="134"/>
    </font>
    <font>
      <sz val="10"/>
      <color rgb="FF7D736F"/>
      <name val="Microsoft YaHei"/>
      <family val="2"/>
      <charset val="134"/>
    </font>
    <font>
      <sz val="7"/>
      <color rgb="FF7D736F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name val="Microsoft YaHei"/>
      <family val="2"/>
      <charset val="134"/>
    </font>
    <font>
      <sz val="7"/>
      <color rgb="FF000000"/>
      <name val="Microsoft YaHei"/>
      <family val="2"/>
      <charset val="134"/>
    </font>
    <font>
      <sz val="7"/>
      <name val="Microsoft YaHei"/>
      <family val="2"/>
      <charset val="134"/>
    </font>
    <font>
      <b/>
      <sz val="10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DF542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E6DF"/>
      </patternFill>
    </fill>
    <fill>
      <patternFill patternType="solid">
        <fgColor rgb="FFF5F5F5"/>
      </patternFill>
    </fill>
    <fill>
      <patternFill patternType="solid">
        <fgColor rgb="FFF8F8F8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medium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medium">
        <color theme="1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auto="1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/>
    </xf>
    <xf numFmtId="9" fontId="4" fillId="0" borderId="10" xfId="1" applyFont="1" applyFill="1" applyBorder="1" applyAlignment="1">
      <alignment horizontal="center" vertical="center"/>
    </xf>
    <xf numFmtId="178" fontId="5" fillId="4" borderId="2" xfId="0" applyNumberFormat="1" applyFont="1" applyFill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9" fontId="5" fillId="0" borderId="9" xfId="1" applyFont="1" applyFill="1" applyBorder="1" applyAlignment="1" applyProtection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8" fontId="4" fillId="0" borderId="9" xfId="1" applyNumberFormat="1" applyFont="1" applyFill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6" xfId="1" applyNumberFormat="1" applyFont="1" applyFill="1" applyBorder="1" applyAlignment="1">
      <alignment horizontal="center" vertical="center"/>
    </xf>
    <xf numFmtId="9" fontId="4" fillId="0" borderId="8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center" vertical="center"/>
    </xf>
    <xf numFmtId="178" fontId="4" fillId="5" borderId="0" xfId="0" applyNumberFormat="1" applyFont="1" applyFill="1" applyAlignment="1">
      <alignment horizontal="center" vertical="center"/>
    </xf>
    <xf numFmtId="9" fontId="4" fillId="5" borderId="0" xfId="1" applyFont="1" applyFill="1" applyBorder="1" applyAlignment="1">
      <alignment horizontal="center" vertical="center"/>
    </xf>
    <xf numFmtId="9" fontId="4" fillId="5" borderId="10" xfId="1" applyFont="1" applyFill="1" applyBorder="1" applyAlignment="1">
      <alignment horizontal="center" vertical="center"/>
    </xf>
    <xf numFmtId="9" fontId="4" fillId="5" borderId="8" xfId="1" applyFont="1" applyFill="1" applyBorder="1" applyAlignment="1">
      <alignment horizontal="center" vertical="center"/>
    </xf>
    <xf numFmtId="178" fontId="4" fillId="5" borderId="0" xfId="1" applyNumberFormat="1" applyFont="1" applyFill="1" applyBorder="1" applyAlignment="1">
      <alignment horizontal="center" vertical="center"/>
    </xf>
    <xf numFmtId="178" fontId="4" fillId="5" borderId="7" xfId="1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 wrapText="1"/>
    </xf>
    <xf numFmtId="9" fontId="5" fillId="5" borderId="0" xfId="1" applyFont="1" applyFill="1" applyBorder="1" applyAlignment="1" applyProtection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178" fontId="4" fillId="5" borderId="20" xfId="0" applyNumberFormat="1" applyFont="1" applyFill="1" applyBorder="1" applyAlignment="1">
      <alignment horizontal="center" vertical="center"/>
    </xf>
    <xf numFmtId="178" fontId="4" fillId="5" borderId="19" xfId="0" applyNumberFormat="1" applyFont="1" applyFill="1" applyBorder="1" applyAlignment="1">
      <alignment horizontal="center" vertical="center"/>
    </xf>
    <xf numFmtId="178" fontId="4" fillId="5" borderId="21" xfId="0" applyNumberFormat="1" applyFont="1" applyFill="1" applyBorder="1" applyAlignment="1">
      <alignment horizontal="center" vertical="center"/>
    </xf>
    <xf numFmtId="178" fontId="4" fillId="5" borderId="22" xfId="0" applyNumberFormat="1" applyFont="1" applyFill="1" applyBorder="1" applyAlignment="1">
      <alignment horizontal="center" vertical="center"/>
    </xf>
    <xf numFmtId="178" fontId="4" fillId="5" borderId="23" xfId="0" applyNumberFormat="1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176" fontId="6" fillId="5" borderId="20" xfId="0" applyNumberFormat="1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176" fontId="6" fillId="5" borderId="22" xfId="0" applyNumberFormat="1" applyFont="1" applyFill="1" applyBorder="1" applyAlignment="1">
      <alignment horizontal="center" vertical="center" wrapText="1"/>
    </xf>
    <xf numFmtId="176" fontId="6" fillId="5" borderId="23" xfId="0" applyNumberFormat="1" applyFont="1" applyFill="1" applyBorder="1" applyAlignment="1">
      <alignment horizontal="center" vertical="center" wrapText="1"/>
    </xf>
    <xf numFmtId="9" fontId="4" fillId="5" borderId="13" xfId="0" applyNumberFormat="1" applyFont="1" applyFill="1" applyBorder="1" applyAlignment="1">
      <alignment horizontal="center" vertical="center"/>
    </xf>
    <xf numFmtId="176" fontId="4" fillId="5" borderId="19" xfId="0" applyNumberFormat="1" applyFont="1" applyFill="1" applyBorder="1" applyAlignment="1">
      <alignment horizontal="center" vertical="center"/>
    </xf>
    <xf numFmtId="9" fontId="11" fillId="5" borderId="20" xfId="1" applyFont="1" applyFill="1" applyBorder="1" applyAlignment="1">
      <alignment horizontal="center" vertical="center"/>
    </xf>
    <xf numFmtId="176" fontId="4" fillId="5" borderId="21" xfId="0" applyNumberFormat="1" applyFont="1" applyFill="1" applyBorder="1" applyAlignment="1">
      <alignment horizontal="center" vertical="center"/>
    </xf>
    <xf numFmtId="9" fontId="11" fillId="5" borderId="23" xfId="1" applyFont="1" applyFill="1" applyBorder="1" applyAlignment="1">
      <alignment horizontal="center" vertical="center"/>
    </xf>
    <xf numFmtId="178" fontId="5" fillId="5" borderId="19" xfId="0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10" fontId="5" fillId="4" borderId="26" xfId="0" applyNumberFormat="1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13" fillId="5" borderId="30" xfId="0" applyFont="1" applyFill="1" applyBorder="1">
      <alignment vertical="center"/>
    </xf>
    <xf numFmtId="0" fontId="13" fillId="5" borderId="22" xfId="0" applyFont="1" applyFill="1" applyBorder="1">
      <alignment vertical="center"/>
    </xf>
    <xf numFmtId="176" fontId="17" fillId="6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left" vertical="center"/>
    </xf>
    <xf numFmtId="0" fontId="14" fillId="5" borderId="30" xfId="0" applyFont="1" applyFill="1" applyBorder="1" applyAlignment="1">
      <alignment horizontal="left" vertical="center" wrapText="1"/>
    </xf>
    <xf numFmtId="0" fontId="14" fillId="5" borderId="31" xfId="0" applyFont="1" applyFill="1" applyBorder="1" applyAlignment="1">
      <alignment horizontal="left" vertical="center"/>
    </xf>
    <xf numFmtId="0" fontId="14" fillId="5" borderId="22" xfId="0" applyFont="1" applyFill="1" applyBorder="1" applyAlignment="1">
      <alignment horizontal="left" vertical="center"/>
    </xf>
    <xf numFmtId="0" fontId="14" fillId="5" borderId="23" xfId="0" applyFont="1" applyFill="1" applyBorder="1" applyAlignment="1">
      <alignment horizontal="left" vertical="center"/>
    </xf>
    <xf numFmtId="0" fontId="16" fillId="5" borderId="29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9" fontId="4" fillId="5" borderId="5" xfId="1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0" fontId="5" fillId="4" borderId="15" xfId="0" applyNumberFormat="1" applyFont="1" applyFill="1" applyBorder="1" applyAlignment="1">
      <alignment horizontal="center" vertical="center"/>
    </xf>
    <xf numFmtId="10" fontId="5" fillId="4" borderId="16" xfId="0" applyNumberFormat="1" applyFont="1" applyFill="1" applyBorder="1" applyAlignment="1">
      <alignment horizontal="center" vertical="center"/>
    </xf>
    <xf numFmtId="10" fontId="4" fillId="5" borderId="24" xfId="0" applyNumberFormat="1" applyFont="1" applyFill="1" applyBorder="1" applyAlignment="1">
      <alignment horizontal="center" vertical="center"/>
    </xf>
    <xf numFmtId="10" fontId="4" fillId="5" borderId="25" xfId="0" applyNumberFormat="1" applyFont="1" applyFill="1" applyBorder="1" applyAlignment="1">
      <alignment horizontal="center" vertical="center"/>
    </xf>
    <xf numFmtId="10" fontId="4" fillId="5" borderId="26" xfId="0" applyNumberFormat="1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4" fillId="0" borderId="5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77" fontId="17" fillId="6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17" fillId="0" borderId="1" xfId="0" applyNumberFormat="1" applyFont="1" applyBorder="1" applyAlignment="1">
      <alignment horizontal="center" vertical="center" wrapText="1"/>
    </xf>
    <xf numFmtId="0" fontId="19" fillId="7" borderId="0" xfId="0" applyFont="1" applyFill="1" applyAlignment="1">
      <alignment horizontal="left" vertical="center" wrapText="1" indent="1"/>
    </xf>
    <xf numFmtId="0" fontId="0" fillId="7" borderId="0" xfId="0" applyFill="1" applyAlignment="1">
      <alignment horizontal="left" vertical="top" wrapText="1"/>
    </xf>
    <xf numFmtId="0" fontId="21" fillId="7" borderId="0" xfId="0" applyFont="1" applyFill="1" applyAlignment="1">
      <alignment horizontal="right" vertical="center" wrapText="1" indent="8"/>
    </xf>
    <xf numFmtId="0" fontId="2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left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3" fillId="8" borderId="1" xfId="0" applyFont="1" applyFill="1" applyBorder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tabSelected="1" zoomScale="120" zoomScaleNormal="120" workbookViewId="0">
      <selection activeCell="B2" sqref="B2"/>
    </sheetView>
  </sheetViews>
  <sheetFormatPr defaultColWidth="8.77734375" defaultRowHeight="15"/>
  <cols>
    <col min="1" max="1" width="8.77734375" style="34"/>
    <col min="2" max="2" width="8.77734375" style="34" customWidth="1"/>
    <col min="3" max="3" width="12.77734375" style="34"/>
    <col min="4" max="6" width="9.5546875" style="34"/>
    <col min="7" max="7" width="9" style="34" customWidth="1"/>
    <col min="8" max="8" width="9.5546875" style="34" customWidth="1"/>
    <col min="9" max="9" width="8.44140625" style="34" customWidth="1"/>
    <col min="10" max="10" width="9.77734375" style="34" hidden="1" customWidth="1"/>
    <col min="11" max="11" width="8.77734375" style="34" customWidth="1"/>
    <col min="12" max="12" width="8.77734375" style="34" hidden="1" customWidth="1"/>
    <col min="13" max="13" width="9.77734375" style="34" customWidth="1"/>
    <col min="14" max="14" width="14.77734375" style="34" hidden="1" customWidth="1"/>
    <col min="15" max="16" width="8.77734375" style="34" customWidth="1"/>
    <col min="17" max="17" width="12.77734375" style="34" customWidth="1"/>
    <col min="18" max="19" width="5.21875" style="34" hidden="1" customWidth="1"/>
    <col min="20" max="20" width="11.44140625" style="34" customWidth="1"/>
    <col min="21" max="21" width="11.77734375" style="34" customWidth="1"/>
    <col min="22" max="22" width="10.109375" style="35" hidden="1" customWidth="1"/>
    <col min="23" max="23" width="8.77734375" style="36" hidden="1" customWidth="1"/>
    <col min="24" max="16384" width="8.77734375" style="33"/>
  </cols>
  <sheetData>
    <row r="1" spans="1:23" ht="17.399999999999999" customHeight="1" thickBot="1">
      <c r="A1" s="79" t="s">
        <v>91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3" ht="30.6" customHeight="1" thickBot="1">
      <c r="A2" s="70" t="s">
        <v>0</v>
      </c>
      <c r="B2" s="71"/>
      <c r="C2" s="71" t="s">
        <v>1</v>
      </c>
      <c r="D2" s="71">
        <v>45</v>
      </c>
      <c r="E2" s="72" t="s">
        <v>2</v>
      </c>
      <c r="F2" s="84" t="s">
        <v>63</v>
      </c>
      <c r="G2" s="85"/>
      <c r="H2" s="85"/>
      <c r="I2" s="85"/>
      <c r="J2" s="85"/>
      <c r="K2" s="85"/>
      <c r="L2" s="85"/>
      <c r="M2" s="85"/>
      <c r="N2" s="85"/>
      <c r="O2" s="85"/>
      <c r="P2" s="85"/>
      <c r="Q2" s="86"/>
      <c r="R2" s="73"/>
      <c r="S2" s="73"/>
      <c r="T2" s="80" t="s">
        <v>90</v>
      </c>
      <c r="U2" s="81"/>
      <c r="V2" s="33"/>
      <c r="W2" s="33"/>
    </row>
    <row r="3" spans="1:23" ht="34.799999999999997" customHeight="1" thickBot="1">
      <c r="A3" s="44" t="s">
        <v>3</v>
      </c>
      <c r="B3" s="34" t="s">
        <v>65</v>
      </c>
      <c r="C3" s="34" t="s">
        <v>4</v>
      </c>
      <c r="D3" s="41">
        <v>8</v>
      </c>
      <c r="E3" s="41">
        <v>400000</v>
      </c>
      <c r="F3" s="87"/>
      <c r="G3" s="88"/>
      <c r="H3" s="88"/>
      <c r="I3" s="88"/>
      <c r="J3" s="88"/>
      <c r="K3" s="88"/>
      <c r="L3" s="88"/>
      <c r="M3" s="88"/>
      <c r="N3" s="88"/>
      <c r="O3" s="88"/>
      <c r="P3" s="88"/>
      <c r="Q3" s="89"/>
      <c r="R3" s="74"/>
      <c r="S3" s="74"/>
      <c r="T3" s="82"/>
      <c r="U3" s="83"/>
      <c r="V3" s="33"/>
      <c r="W3" s="33"/>
    </row>
    <row r="4" spans="1:23" ht="15.6">
      <c r="A4" s="94" t="s">
        <v>5</v>
      </c>
      <c r="B4" s="96" t="s">
        <v>6</v>
      </c>
      <c r="C4" s="55" t="s">
        <v>7</v>
      </c>
      <c r="D4" s="98">
        <v>9.4999999999999998E-3</v>
      </c>
      <c r="E4" s="99"/>
      <c r="F4" s="100" t="s">
        <v>8</v>
      </c>
      <c r="G4" s="101"/>
      <c r="H4" s="102"/>
      <c r="I4" s="90" t="s">
        <v>9</v>
      </c>
      <c r="J4" s="103"/>
      <c r="K4" s="103"/>
      <c r="L4" s="103"/>
      <c r="M4" s="103"/>
      <c r="N4" s="91"/>
      <c r="O4" s="90" t="s">
        <v>10</v>
      </c>
      <c r="P4" s="103"/>
      <c r="Q4" s="69">
        <v>2.9000000000000001E-2</v>
      </c>
      <c r="R4" s="104" t="s">
        <v>11</v>
      </c>
      <c r="S4" s="105"/>
      <c r="T4" s="90" t="s">
        <v>12</v>
      </c>
      <c r="U4" s="91"/>
      <c r="V4" s="92" t="s">
        <v>13</v>
      </c>
      <c r="W4" s="93"/>
    </row>
    <row r="5" spans="1:23">
      <c r="A5" s="95"/>
      <c r="B5" s="97"/>
      <c r="C5" s="47" t="s">
        <v>14</v>
      </c>
      <c r="D5" s="45" t="s">
        <v>15</v>
      </c>
      <c r="E5" s="48" t="s">
        <v>16</v>
      </c>
      <c r="F5" s="47" t="s">
        <v>17</v>
      </c>
      <c r="G5" s="45" t="s">
        <v>15</v>
      </c>
      <c r="H5" s="48" t="s">
        <v>16</v>
      </c>
      <c r="I5" s="47" t="s">
        <v>18</v>
      </c>
      <c r="J5" s="45" t="s">
        <v>19</v>
      </c>
      <c r="K5" s="45" t="s">
        <v>20</v>
      </c>
      <c r="L5" s="45" t="s">
        <v>21</v>
      </c>
      <c r="M5" s="45" t="s">
        <v>16</v>
      </c>
      <c r="N5" s="48" t="s">
        <v>22</v>
      </c>
      <c r="O5" s="47" t="s">
        <v>10</v>
      </c>
      <c r="P5" s="45" t="s">
        <v>15</v>
      </c>
      <c r="Q5" s="48" t="s">
        <v>23</v>
      </c>
      <c r="R5" s="61" t="s">
        <v>24</v>
      </c>
      <c r="S5" s="46" t="s">
        <v>25</v>
      </c>
      <c r="T5" s="47" t="s">
        <v>26</v>
      </c>
      <c r="U5" s="48" t="s">
        <v>27</v>
      </c>
      <c r="V5" s="35" t="s">
        <v>28</v>
      </c>
      <c r="W5" s="37" t="s">
        <v>29</v>
      </c>
    </row>
    <row r="6" spans="1:23" ht="17.399999999999999">
      <c r="A6" s="57">
        <v>1</v>
      </c>
      <c r="B6" s="67">
        <f>VLOOKUP(A6,贴主险建议书!A:B,2,0)</f>
        <v>61</v>
      </c>
      <c r="C6" s="66">
        <f>E3</f>
        <v>400000</v>
      </c>
      <c r="D6" s="35">
        <f t="shared" ref="D6:D69" si="0">C6*$D$4</f>
        <v>3800</v>
      </c>
      <c r="E6" s="50">
        <f t="shared" ref="E6:E69" si="1">D6+C6-$C$6</f>
        <v>3800</v>
      </c>
      <c r="F6" s="49">
        <f>C6-O6-I6</f>
        <v>100000</v>
      </c>
      <c r="G6" s="35">
        <f>F6*$D$4</f>
        <v>950</v>
      </c>
      <c r="H6" s="50">
        <f>G6</f>
        <v>950</v>
      </c>
      <c r="I6" s="49">
        <f t="shared" ref="I6:I69" si="2">IF(A6&lt;=$D$3,$C$6/$D$3*$A6,$C$6)</f>
        <v>50000</v>
      </c>
      <c r="J6" s="42">
        <f>VLOOKUP(A6,贴主险建议书!A:E,5,0)</f>
        <v>11051</v>
      </c>
      <c r="K6" s="42">
        <f>VLOOKUP(A6,贴主险建议书!A:G,7,0)</f>
        <v>395</v>
      </c>
      <c r="L6" s="42">
        <f>VLOOKUP(A6,贴主险建议书!A:H,8,0)</f>
        <v>395</v>
      </c>
      <c r="M6" s="42">
        <f t="shared" ref="M6:M69" si="3">IF((N6-I6)&lt;=L6,L6,N6-I6)</f>
        <v>395</v>
      </c>
      <c r="N6" s="56">
        <f>VLOOKUP(A6,贴主险建议书!A:O,15,0)</f>
        <v>11528</v>
      </c>
      <c r="O6" s="49">
        <f>I6*5</f>
        <v>250000</v>
      </c>
      <c r="P6" s="35">
        <f>O6*98%*$Q$4-O6*2%</f>
        <v>2105</v>
      </c>
      <c r="Q6" s="50">
        <f>P6</f>
        <v>2105</v>
      </c>
      <c r="R6" s="43">
        <v>0</v>
      </c>
      <c r="S6" s="34">
        <f>R6*I6</f>
        <v>0</v>
      </c>
      <c r="T6" s="62">
        <f t="shared" ref="T6:T69" si="4">M6+Q6+H6+S6</f>
        <v>3450</v>
      </c>
      <c r="U6" s="63">
        <f t="shared" ref="U6:U69" si="5">T6/E6</f>
        <v>0.90789473684210531</v>
      </c>
      <c r="V6" s="39">
        <f t="shared" ref="V6:V69" si="6">N6+S6+Q6+O6+H6+F6</f>
        <v>364583</v>
      </c>
      <c r="W6" s="37">
        <f t="shared" ref="W6:W69" si="7">V6/$C$6</f>
        <v>0.91145750000000003</v>
      </c>
    </row>
    <row r="7" spans="1:23" ht="17.399999999999999">
      <c r="A7" s="57">
        <v>2</v>
      </c>
      <c r="B7" s="67">
        <f>VLOOKUP(A7,贴主险建议书!A:B,2,0)</f>
        <v>62</v>
      </c>
      <c r="C7" s="51">
        <f t="shared" ref="C7:C70" si="8">C6+D6</f>
        <v>403800</v>
      </c>
      <c r="D7" s="35">
        <f t="shared" si="0"/>
        <v>3836.1</v>
      </c>
      <c r="E7" s="50">
        <f t="shared" si="1"/>
        <v>7636.0999999999767</v>
      </c>
      <c r="F7" s="51">
        <f>C6-O7-I7</f>
        <v>50000</v>
      </c>
      <c r="G7" s="35">
        <f>(F7+H6)*$D$4</f>
        <v>484.02499999999998</v>
      </c>
      <c r="H7" s="50">
        <f>G7+H6</f>
        <v>1434.0250000000001</v>
      </c>
      <c r="I7" s="57">
        <f t="shared" si="2"/>
        <v>100000</v>
      </c>
      <c r="J7" s="42">
        <f>VLOOKUP(A7,贴主险建议书!A:E,5,0)</f>
        <v>28025</v>
      </c>
      <c r="K7" s="42">
        <f>VLOOKUP(A7,贴主险建议书!A:G,7,0)</f>
        <v>954</v>
      </c>
      <c r="L7" s="42">
        <f>VLOOKUP(A7,贴主险建议书!A:H,8,0)</f>
        <v>1349</v>
      </c>
      <c r="M7" s="42">
        <f t="shared" si="3"/>
        <v>1349</v>
      </c>
      <c r="N7" s="56">
        <f>VLOOKUP(A7,贴主险建议书!A:O,15,0)</f>
        <v>29462</v>
      </c>
      <c r="O7" s="57">
        <f>O6</f>
        <v>250000</v>
      </c>
      <c r="P7" s="35">
        <f t="shared" ref="P7:P70" si="9">(O7+Q6)*$Q$4</f>
        <v>7311.0450000000001</v>
      </c>
      <c r="Q7" s="50">
        <f t="shared" ref="Q7:Q70" si="10">P7+Q6</f>
        <v>9416.0450000000001</v>
      </c>
      <c r="R7" s="34">
        <v>0</v>
      </c>
      <c r="S7" s="34">
        <f t="shared" ref="S7:S70" si="11">S6+R7</f>
        <v>0</v>
      </c>
      <c r="T7" s="62">
        <f t="shared" si="4"/>
        <v>12199.07</v>
      </c>
      <c r="U7" s="63">
        <f t="shared" si="5"/>
        <v>1.5975524155000638</v>
      </c>
      <c r="V7" s="39">
        <f t="shared" si="6"/>
        <v>340312.07</v>
      </c>
      <c r="W7" s="37">
        <f t="shared" si="7"/>
        <v>0.85078017500000003</v>
      </c>
    </row>
    <row r="8" spans="1:23" ht="17.399999999999999">
      <c r="A8" s="57">
        <v>3</v>
      </c>
      <c r="B8" s="67">
        <f>VLOOKUP(A8,贴主险建议书!A:B,2,0)</f>
        <v>63</v>
      </c>
      <c r="C8" s="51">
        <f t="shared" si="8"/>
        <v>407636.1</v>
      </c>
      <c r="D8" s="35">
        <f t="shared" si="0"/>
        <v>3872.5429499999996</v>
      </c>
      <c r="E8" s="50">
        <f t="shared" si="1"/>
        <v>11508.64294999995</v>
      </c>
      <c r="F8" s="51">
        <v>0</v>
      </c>
      <c r="G8" s="35">
        <v>0</v>
      </c>
      <c r="H8" s="50">
        <f t="shared" ref="H8:H70" si="12">H7</f>
        <v>1434.0250000000001</v>
      </c>
      <c r="I8" s="57">
        <f t="shared" si="2"/>
        <v>150000</v>
      </c>
      <c r="J8" s="42">
        <f>VLOOKUP(A8,贴主险建议书!A:E,5,0)</f>
        <v>51592</v>
      </c>
      <c r="K8" s="42">
        <f>VLOOKUP(A8,贴主险建议书!A:G,7,0)</f>
        <v>1522</v>
      </c>
      <c r="L8" s="42">
        <f>VLOOKUP(A8,贴主险建议书!A:H,8,0)</f>
        <v>2871</v>
      </c>
      <c r="M8" s="42">
        <f t="shared" si="3"/>
        <v>2871</v>
      </c>
      <c r="N8" s="56">
        <f>VLOOKUP(A8,贴主险建议书!A:O,15,0)</f>
        <v>54562</v>
      </c>
      <c r="O8" s="57">
        <f>O7</f>
        <v>250000</v>
      </c>
      <c r="P8" s="35">
        <f t="shared" si="9"/>
        <v>7523.065305000001</v>
      </c>
      <c r="Q8" s="50">
        <f t="shared" si="10"/>
        <v>16939.110305000002</v>
      </c>
      <c r="R8" s="34">
        <v>0</v>
      </c>
      <c r="S8" s="34">
        <f t="shared" si="11"/>
        <v>0</v>
      </c>
      <c r="T8" s="62">
        <f t="shared" si="4"/>
        <v>21244.135305000003</v>
      </c>
      <c r="U8" s="63">
        <f t="shared" si="5"/>
        <v>1.8459287856349818</v>
      </c>
      <c r="V8" s="39">
        <f t="shared" si="6"/>
        <v>322935.135305</v>
      </c>
      <c r="W8" s="37">
        <f t="shared" si="7"/>
        <v>0.80733783826250005</v>
      </c>
    </row>
    <row r="9" spans="1:23" ht="17.399999999999999">
      <c r="A9" s="57">
        <v>4</v>
      </c>
      <c r="B9" s="67">
        <f>VLOOKUP(A9,贴主险建议书!A:B,2,0)</f>
        <v>64</v>
      </c>
      <c r="C9" s="51">
        <f t="shared" si="8"/>
        <v>411508.64294999995</v>
      </c>
      <c r="D9" s="35">
        <f t="shared" si="0"/>
        <v>3909.3321080249993</v>
      </c>
      <c r="E9" s="50">
        <f t="shared" si="1"/>
        <v>15417.975058024924</v>
      </c>
      <c r="F9" s="51">
        <v>0</v>
      </c>
      <c r="G9" s="35">
        <v>0</v>
      </c>
      <c r="H9" s="50">
        <f t="shared" si="12"/>
        <v>1434.0250000000001</v>
      </c>
      <c r="I9" s="57">
        <f t="shared" si="2"/>
        <v>200000</v>
      </c>
      <c r="J9" s="42">
        <f>VLOOKUP(A9,贴主险建议书!A:E,5,0)</f>
        <v>85924</v>
      </c>
      <c r="K9" s="42">
        <f>VLOOKUP(A9,贴主险建议书!A:G,7,0)</f>
        <v>2100</v>
      </c>
      <c r="L9" s="42">
        <f>VLOOKUP(A9,贴主险建议书!A:H,8,0)</f>
        <v>4971</v>
      </c>
      <c r="M9" s="42">
        <f t="shared" si="3"/>
        <v>4971</v>
      </c>
      <c r="N9" s="56">
        <f>VLOOKUP(A9,贴主险建议书!A:O,15,0)</f>
        <v>91037</v>
      </c>
      <c r="O9" s="57">
        <f>O8-I6</f>
        <v>200000</v>
      </c>
      <c r="P9" s="35">
        <f>(O9+Q8)*$Q$4-$I$6*1%</f>
        <v>5791.2341988450007</v>
      </c>
      <c r="Q9" s="50">
        <f t="shared" si="10"/>
        <v>22730.344503845001</v>
      </c>
      <c r="R9" s="34">
        <v>0</v>
      </c>
      <c r="S9" s="34">
        <f t="shared" si="11"/>
        <v>0</v>
      </c>
      <c r="T9" s="62">
        <f t="shared" si="4"/>
        <v>29135.369503845002</v>
      </c>
      <c r="U9" s="63">
        <f t="shared" si="5"/>
        <v>1.8897014292859615</v>
      </c>
      <c r="V9" s="39">
        <f t="shared" si="6"/>
        <v>315201.369503845</v>
      </c>
      <c r="W9" s="37">
        <f t="shared" si="7"/>
        <v>0.78800342375961252</v>
      </c>
    </row>
    <row r="10" spans="1:23" ht="17.399999999999999">
      <c r="A10" s="57">
        <v>5</v>
      </c>
      <c r="B10" s="67">
        <f>VLOOKUP(A10,贴主险建议书!A:B,2,0)</f>
        <v>65</v>
      </c>
      <c r="C10" s="51">
        <f t="shared" si="8"/>
        <v>415417.97505802492</v>
      </c>
      <c r="D10" s="35">
        <f t="shared" si="0"/>
        <v>3946.4707630512366</v>
      </c>
      <c r="E10" s="50">
        <f t="shared" si="1"/>
        <v>19364.445821076166</v>
      </c>
      <c r="F10" s="51">
        <v>0</v>
      </c>
      <c r="G10" s="35">
        <v>0</v>
      </c>
      <c r="H10" s="50">
        <f t="shared" si="12"/>
        <v>1434.0250000000001</v>
      </c>
      <c r="I10" s="57">
        <f t="shared" si="2"/>
        <v>250000</v>
      </c>
      <c r="J10" s="42">
        <f>VLOOKUP(A10,贴主险建议书!A:E,5,0)</f>
        <v>123248</v>
      </c>
      <c r="K10" s="42">
        <f>VLOOKUP(A10,贴主险建议书!A:G,7,0)</f>
        <v>2687</v>
      </c>
      <c r="L10" s="42">
        <f>VLOOKUP(A10,贴主险建议书!A:H,8,0)</f>
        <v>7658</v>
      </c>
      <c r="M10" s="42">
        <f t="shared" si="3"/>
        <v>7658</v>
      </c>
      <c r="N10" s="56">
        <f>VLOOKUP(A10,贴主险建议书!A:O,15,0)</f>
        <v>131143</v>
      </c>
      <c r="O10" s="57">
        <f>O9-I6</f>
        <v>150000</v>
      </c>
      <c r="P10" s="35">
        <f>(O10+Q9)*$Q$4-$I$6*1%</f>
        <v>4509.1799906115057</v>
      </c>
      <c r="Q10" s="50">
        <f t="shared" si="10"/>
        <v>27239.524494456506</v>
      </c>
      <c r="R10" s="34">
        <v>0</v>
      </c>
      <c r="S10" s="34">
        <f t="shared" si="11"/>
        <v>0</v>
      </c>
      <c r="T10" s="62">
        <f t="shared" si="4"/>
        <v>36331.549494456507</v>
      </c>
      <c r="U10" s="63">
        <f t="shared" si="5"/>
        <v>1.8761987732648373</v>
      </c>
      <c r="V10" s="39">
        <f t="shared" si="6"/>
        <v>309816.5494944565</v>
      </c>
      <c r="W10" s="37">
        <f t="shared" si="7"/>
        <v>0.77454137373614129</v>
      </c>
    </row>
    <row r="11" spans="1:23" ht="17.399999999999999">
      <c r="A11" s="57">
        <v>6</v>
      </c>
      <c r="B11" s="67">
        <f>VLOOKUP(A11,贴主险建议书!A:B,2,0)</f>
        <v>66</v>
      </c>
      <c r="C11" s="51">
        <f t="shared" si="8"/>
        <v>419364.44582107617</v>
      </c>
      <c r="D11" s="35">
        <f t="shared" si="0"/>
        <v>3983.9622353002233</v>
      </c>
      <c r="E11" s="50">
        <f t="shared" si="1"/>
        <v>23348.408056376386</v>
      </c>
      <c r="F11" s="51">
        <v>0</v>
      </c>
      <c r="G11" s="35">
        <v>0</v>
      </c>
      <c r="H11" s="50">
        <f t="shared" si="12"/>
        <v>1434.0250000000001</v>
      </c>
      <c r="I11" s="57">
        <f t="shared" si="2"/>
        <v>300000</v>
      </c>
      <c r="J11" s="42">
        <f>VLOOKUP(A11,贴主险建议书!A:E,5,0)</f>
        <v>163662</v>
      </c>
      <c r="K11" s="42">
        <f>VLOOKUP(A11,贴主险建议书!A:G,7,0)</f>
        <v>3284</v>
      </c>
      <c r="L11" s="42">
        <f>VLOOKUP(A11,贴主险建议书!A:H,8,0)</f>
        <v>10942</v>
      </c>
      <c r="M11" s="42">
        <f t="shared" si="3"/>
        <v>10942</v>
      </c>
      <c r="N11" s="56">
        <f>VLOOKUP(A11,贴主险建议书!A:O,15,0)</f>
        <v>175194</v>
      </c>
      <c r="O11" s="57">
        <f>O10-I6</f>
        <v>100000</v>
      </c>
      <c r="P11" s="35">
        <f>(O11+Q10)*$Q$4+O6*1%</f>
        <v>6189.9462103392389</v>
      </c>
      <c r="Q11" s="50">
        <f t="shared" si="10"/>
        <v>33429.470704795742</v>
      </c>
      <c r="R11" s="34">
        <v>0</v>
      </c>
      <c r="S11" s="34">
        <f t="shared" si="11"/>
        <v>0</v>
      </c>
      <c r="T11" s="62">
        <f t="shared" si="4"/>
        <v>45805.495704795743</v>
      </c>
      <c r="U11" s="63">
        <f t="shared" si="5"/>
        <v>1.9618252171280854</v>
      </c>
      <c r="V11" s="39">
        <f t="shared" si="6"/>
        <v>310057.49570479576</v>
      </c>
      <c r="W11" s="37">
        <f t="shared" si="7"/>
        <v>0.77514373926198943</v>
      </c>
    </row>
    <row r="12" spans="1:23" ht="17.399999999999999">
      <c r="A12" s="57">
        <v>7</v>
      </c>
      <c r="B12" s="67">
        <f>VLOOKUP(A12,贴主险建议书!A:B,2,0)</f>
        <v>67</v>
      </c>
      <c r="C12" s="51">
        <f t="shared" si="8"/>
        <v>423348.40805637639</v>
      </c>
      <c r="D12" s="35">
        <f t="shared" si="0"/>
        <v>4021.8098765355758</v>
      </c>
      <c r="E12" s="50">
        <f t="shared" si="1"/>
        <v>27370.217932911939</v>
      </c>
      <c r="F12" s="51">
        <v>0</v>
      </c>
      <c r="G12" s="35">
        <v>0</v>
      </c>
      <c r="H12" s="50">
        <f t="shared" si="12"/>
        <v>1434.0250000000001</v>
      </c>
      <c r="I12" s="57">
        <f t="shared" si="2"/>
        <v>350000</v>
      </c>
      <c r="J12" s="42">
        <f>VLOOKUP(A12,贴主险建议书!A:E,5,0)</f>
        <v>207325</v>
      </c>
      <c r="K12" s="42">
        <f>VLOOKUP(A12,贴主险建议书!A:G,7,0)</f>
        <v>3890</v>
      </c>
      <c r="L12" s="42">
        <f>VLOOKUP(A12,贴主险建议书!A:H,8,0)</f>
        <v>14831</v>
      </c>
      <c r="M12" s="42">
        <f t="shared" si="3"/>
        <v>14831</v>
      </c>
      <c r="N12" s="56">
        <f>VLOOKUP(A12,贴主险建议书!A:O,15,0)</f>
        <v>223071</v>
      </c>
      <c r="O12" s="57">
        <f>O11-I6</f>
        <v>50000</v>
      </c>
      <c r="P12" s="35">
        <f t="shared" si="9"/>
        <v>2419.4546504390764</v>
      </c>
      <c r="Q12" s="50">
        <f t="shared" si="10"/>
        <v>35848.925355234816</v>
      </c>
      <c r="R12" s="34">
        <v>0</v>
      </c>
      <c r="S12" s="34">
        <f t="shared" si="11"/>
        <v>0</v>
      </c>
      <c r="T12" s="62">
        <f t="shared" si="4"/>
        <v>52113.950355234818</v>
      </c>
      <c r="U12" s="63">
        <f t="shared" si="5"/>
        <v>1.9040385605614494</v>
      </c>
      <c r="V12" s="39">
        <f t="shared" si="6"/>
        <v>310353.95035523485</v>
      </c>
      <c r="W12" s="37">
        <f t="shared" si="7"/>
        <v>0.77588487588808708</v>
      </c>
    </row>
    <row r="13" spans="1:23" ht="17.399999999999999">
      <c r="A13" s="57">
        <v>8</v>
      </c>
      <c r="B13" s="67">
        <f>VLOOKUP(A13,贴主险建议书!A:B,2,0)</f>
        <v>68</v>
      </c>
      <c r="C13" s="51">
        <f t="shared" si="8"/>
        <v>427370.21793291194</v>
      </c>
      <c r="D13" s="35">
        <f t="shared" si="0"/>
        <v>4060.0170703626632</v>
      </c>
      <c r="E13" s="50">
        <f t="shared" si="1"/>
        <v>31430.235003274574</v>
      </c>
      <c r="F13" s="51">
        <v>0</v>
      </c>
      <c r="G13" s="35">
        <v>0</v>
      </c>
      <c r="H13" s="50">
        <f t="shared" si="12"/>
        <v>1434.0250000000001</v>
      </c>
      <c r="I13" s="57">
        <f t="shared" si="2"/>
        <v>400000</v>
      </c>
      <c r="J13" s="42">
        <f>VLOOKUP(A13,贴主险建议书!A:E,5,0)</f>
        <v>254299</v>
      </c>
      <c r="K13" s="42">
        <f>VLOOKUP(A13,贴主险建议书!A:G,7,0)</f>
        <v>4505</v>
      </c>
      <c r="L13" s="42">
        <f>VLOOKUP(A13,贴主险建议书!A:H,8,0)</f>
        <v>19337</v>
      </c>
      <c r="M13" s="42">
        <f t="shared" si="3"/>
        <v>19337</v>
      </c>
      <c r="N13" s="56">
        <f>VLOOKUP(A13,贴主险建议书!A:O,15,0)</f>
        <v>274997</v>
      </c>
      <c r="O13" s="57">
        <f t="shared" ref="O13:O70" si="13">$C$6-I13</f>
        <v>0</v>
      </c>
      <c r="P13" s="35">
        <f t="shared" si="9"/>
        <v>1039.6188353018097</v>
      </c>
      <c r="Q13" s="50">
        <f t="shared" si="10"/>
        <v>36888.544190536624</v>
      </c>
      <c r="R13" s="34">
        <v>0</v>
      </c>
      <c r="S13" s="34">
        <f t="shared" si="11"/>
        <v>0</v>
      </c>
      <c r="T13" s="62">
        <f t="shared" si="4"/>
        <v>57659.569190536626</v>
      </c>
      <c r="U13" s="63">
        <f t="shared" si="5"/>
        <v>1.8345255510984673</v>
      </c>
      <c r="V13" s="39">
        <f t="shared" si="6"/>
        <v>313319.56919053663</v>
      </c>
      <c r="W13" s="37">
        <f t="shared" si="7"/>
        <v>0.78329892297634152</v>
      </c>
    </row>
    <row r="14" spans="1:23" ht="17.399999999999999">
      <c r="A14" s="57">
        <v>9</v>
      </c>
      <c r="B14" s="67">
        <f>VLOOKUP(A14,贴主险建议书!A:B,2,0)</f>
        <v>69</v>
      </c>
      <c r="C14" s="51">
        <f t="shared" si="8"/>
        <v>431430.23500327457</v>
      </c>
      <c r="D14" s="35">
        <f t="shared" si="0"/>
        <v>4098.5872325311084</v>
      </c>
      <c r="E14" s="50">
        <f t="shared" si="1"/>
        <v>35528.822235805681</v>
      </c>
      <c r="F14" s="51">
        <v>0</v>
      </c>
      <c r="G14" s="35">
        <v>0</v>
      </c>
      <c r="H14" s="50">
        <f t="shared" si="12"/>
        <v>1434.0250000000001</v>
      </c>
      <c r="I14" s="57">
        <f t="shared" si="2"/>
        <v>400000</v>
      </c>
      <c r="J14" s="42">
        <f>VLOOKUP(A14,贴主险建议书!A:E,5,0)</f>
        <v>262707</v>
      </c>
      <c r="K14" s="42">
        <f>VLOOKUP(A14,贴主险建议书!A:G,7,0)</f>
        <v>4578</v>
      </c>
      <c r="L14" s="42">
        <f>VLOOKUP(A14,贴主险建议书!A:H,8,0)</f>
        <v>23914</v>
      </c>
      <c r="M14" s="42">
        <f t="shared" si="3"/>
        <v>23914</v>
      </c>
      <c r="N14" s="56">
        <f>VLOOKUP(A14,贴主险建议书!A:O,15,0)</f>
        <v>288573</v>
      </c>
      <c r="O14" s="57">
        <f t="shared" si="13"/>
        <v>0</v>
      </c>
      <c r="P14" s="35">
        <f t="shared" si="9"/>
        <v>1069.7677815255622</v>
      </c>
      <c r="Q14" s="50">
        <f t="shared" si="10"/>
        <v>37958.311972062183</v>
      </c>
      <c r="R14" s="34">
        <v>0</v>
      </c>
      <c r="S14" s="34">
        <f t="shared" si="11"/>
        <v>0</v>
      </c>
      <c r="T14" s="62">
        <f t="shared" si="4"/>
        <v>63306.336972062185</v>
      </c>
      <c r="U14" s="63">
        <f t="shared" si="5"/>
        <v>1.7818304404209193</v>
      </c>
      <c r="V14" s="39">
        <f t="shared" si="6"/>
        <v>327965.33697206218</v>
      </c>
      <c r="W14" s="37">
        <f t="shared" si="7"/>
        <v>0.81991334243015546</v>
      </c>
    </row>
    <row r="15" spans="1:23" ht="17.399999999999999">
      <c r="A15" s="57">
        <v>10</v>
      </c>
      <c r="B15" s="67">
        <f>VLOOKUP(A15,贴主险建议书!A:B,2,0)</f>
        <v>70</v>
      </c>
      <c r="C15" s="51">
        <f t="shared" si="8"/>
        <v>435528.82223580568</v>
      </c>
      <c r="D15" s="35">
        <f t="shared" si="0"/>
        <v>4137.5238112401539</v>
      </c>
      <c r="E15" s="50">
        <f t="shared" si="1"/>
        <v>39666.346047045838</v>
      </c>
      <c r="F15" s="51">
        <v>0</v>
      </c>
      <c r="G15" s="35">
        <v>0</v>
      </c>
      <c r="H15" s="50">
        <f t="shared" si="12"/>
        <v>1434.0250000000001</v>
      </c>
      <c r="I15" s="57">
        <f t="shared" si="2"/>
        <v>400000</v>
      </c>
      <c r="J15" s="42">
        <f>VLOOKUP(A15,贴主险建议书!A:E,5,0)</f>
        <v>384713</v>
      </c>
      <c r="K15" s="42">
        <f>VLOOKUP(A15,贴主险建议书!A:G,7,0)</f>
        <v>4651</v>
      </c>
      <c r="L15" s="42">
        <f>VLOOKUP(A15,贴主险建议书!A:H,8,0)</f>
        <v>28565</v>
      </c>
      <c r="M15" s="42">
        <f t="shared" si="3"/>
        <v>28565</v>
      </c>
      <c r="N15" s="56">
        <f>VLOOKUP(A15,贴主险建议书!A:O,15,0)</f>
        <v>415969</v>
      </c>
      <c r="O15" s="57">
        <f t="shared" si="13"/>
        <v>0</v>
      </c>
      <c r="P15" s="35">
        <f t="shared" si="9"/>
        <v>1100.7910471898033</v>
      </c>
      <c r="Q15" s="50">
        <f t="shared" si="10"/>
        <v>39059.10301925199</v>
      </c>
      <c r="R15" s="34">
        <v>0</v>
      </c>
      <c r="S15" s="34">
        <f t="shared" si="11"/>
        <v>0</v>
      </c>
      <c r="T15" s="62">
        <f t="shared" si="4"/>
        <v>69058.128019251977</v>
      </c>
      <c r="U15" s="63">
        <f t="shared" si="5"/>
        <v>1.7409752826072342</v>
      </c>
      <c r="V15" s="39">
        <f t="shared" si="6"/>
        <v>456462.12801925204</v>
      </c>
      <c r="W15" s="37">
        <f t="shared" si="7"/>
        <v>1.1411553200481301</v>
      </c>
    </row>
    <row r="16" spans="1:23" ht="17.399999999999999">
      <c r="A16" s="57">
        <v>11</v>
      </c>
      <c r="B16" s="67">
        <f>VLOOKUP(A16,贴主险建议书!A:B,2,0)</f>
        <v>71</v>
      </c>
      <c r="C16" s="51">
        <f t="shared" si="8"/>
        <v>439666.34604704584</v>
      </c>
      <c r="D16" s="35">
        <f t="shared" si="0"/>
        <v>4176.8302874469355</v>
      </c>
      <c r="E16" s="50">
        <f t="shared" si="1"/>
        <v>43843.176334492746</v>
      </c>
      <c r="F16" s="51">
        <v>0</v>
      </c>
      <c r="G16" s="35">
        <v>0</v>
      </c>
      <c r="H16" s="50">
        <f t="shared" si="12"/>
        <v>1434.0250000000001</v>
      </c>
      <c r="I16" s="57">
        <f t="shared" si="2"/>
        <v>400000</v>
      </c>
      <c r="J16" s="42">
        <f>VLOOKUP(A16,贴主险建议书!A:E,5,0)</f>
        <v>390828</v>
      </c>
      <c r="K16" s="42">
        <f>VLOOKUP(A16,贴主险建议书!A:G,7,0)</f>
        <v>4724</v>
      </c>
      <c r="L16" s="42">
        <f>VLOOKUP(A16,贴主险建议书!A:H,8,0)</f>
        <v>33290</v>
      </c>
      <c r="M16" s="42">
        <f t="shared" si="3"/>
        <v>33290</v>
      </c>
      <c r="N16" s="56">
        <f>VLOOKUP(A16,贴主险建议书!A:O,15,0)</f>
        <v>427702</v>
      </c>
      <c r="O16" s="57">
        <f t="shared" si="13"/>
        <v>0</v>
      </c>
      <c r="P16" s="35">
        <f t="shared" si="9"/>
        <v>1132.7139875583077</v>
      </c>
      <c r="Q16" s="50">
        <f t="shared" si="10"/>
        <v>40191.817006810299</v>
      </c>
      <c r="R16" s="34">
        <v>0</v>
      </c>
      <c r="S16" s="34">
        <f t="shared" si="11"/>
        <v>0</v>
      </c>
      <c r="T16" s="62">
        <f t="shared" si="4"/>
        <v>74915.842006810301</v>
      </c>
      <c r="U16" s="63">
        <f t="shared" si="5"/>
        <v>1.708722959195631</v>
      </c>
      <c r="V16" s="39">
        <f t="shared" si="6"/>
        <v>469327.8420068103</v>
      </c>
      <c r="W16" s="37">
        <f t="shared" si="7"/>
        <v>1.1733196050170258</v>
      </c>
    </row>
    <row r="17" spans="1:23" ht="17.399999999999999">
      <c r="A17" s="57">
        <v>12</v>
      </c>
      <c r="B17" s="67">
        <f>VLOOKUP(A17,贴主险建议书!A:B,2,0)</f>
        <v>72</v>
      </c>
      <c r="C17" s="51">
        <f t="shared" si="8"/>
        <v>443843.17633449275</v>
      </c>
      <c r="D17" s="35">
        <f t="shared" si="0"/>
        <v>4216.510175177681</v>
      </c>
      <c r="E17" s="50">
        <f t="shared" si="1"/>
        <v>48059.686509670399</v>
      </c>
      <c r="F17" s="51">
        <v>0</v>
      </c>
      <c r="G17" s="35">
        <v>0</v>
      </c>
      <c r="H17" s="50">
        <f t="shared" si="12"/>
        <v>1434.0250000000001</v>
      </c>
      <c r="I17" s="57">
        <f t="shared" si="2"/>
        <v>400000</v>
      </c>
      <c r="J17" s="42">
        <f>VLOOKUP(A17,贴主险建议书!A:E,5,0)</f>
        <v>397038</v>
      </c>
      <c r="K17" s="42">
        <f>VLOOKUP(A17,贴主险建议书!A:G,7,0)</f>
        <v>4799</v>
      </c>
      <c r="L17" s="42">
        <f>VLOOKUP(A17,贴主险建议书!A:H,8,0)</f>
        <v>38088</v>
      </c>
      <c r="M17" s="42">
        <f t="shared" si="3"/>
        <v>39767</v>
      </c>
      <c r="N17" s="56">
        <f>VLOOKUP(A17,贴主险建议书!A:O,15,0)</f>
        <v>439767</v>
      </c>
      <c r="O17" s="57">
        <f t="shared" si="13"/>
        <v>0</v>
      </c>
      <c r="P17" s="35">
        <f t="shared" si="9"/>
        <v>1165.5626931974987</v>
      </c>
      <c r="Q17" s="50">
        <f t="shared" si="10"/>
        <v>41357.379700007798</v>
      </c>
      <c r="R17" s="34">
        <v>0</v>
      </c>
      <c r="S17" s="34">
        <f t="shared" si="11"/>
        <v>0</v>
      </c>
      <c r="T17" s="62">
        <f t="shared" si="4"/>
        <v>82558.404700007784</v>
      </c>
      <c r="U17" s="63">
        <f t="shared" si="5"/>
        <v>1.7178306954498272</v>
      </c>
      <c r="V17" s="39">
        <f t="shared" si="6"/>
        <v>482558.40470000781</v>
      </c>
      <c r="W17" s="37">
        <f t="shared" si="7"/>
        <v>1.2063960117500194</v>
      </c>
    </row>
    <row r="18" spans="1:23" ht="17.399999999999999">
      <c r="A18" s="57">
        <v>13</v>
      </c>
      <c r="B18" s="67">
        <f>VLOOKUP(A18,贴主险建议书!A:B,2,0)</f>
        <v>73</v>
      </c>
      <c r="C18" s="51">
        <f t="shared" si="8"/>
        <v>448059.6865096704</v>
      </c>
      <c r="D18" s="35">
        <f t="shared" si="0"/>
        <v>4256.5670218418691</v>
      </c>
      <c r="E18" s="50">
        <f t="shared" si="1"/>
        <v>52316.25353151228</v>
      </c>
      <c r="F18" s="51">
        <v>0</v>
      </c>
      <c r="G18" s="35">
        <v>0</v>
      </c>
      <c r="H18" s="50">
        <f t="shared" si="12"/>
        <v>1434.0250000000001</v>
      </c>
      <c r="I18" s="57">
        <f t="shared" si="2"/>
        <v>400000</v>
      </c>
      <c r="J18" s="42">
        <f>VLOOKUP(A18,贴主险建议书!A:E,5,0)</f>
        <v>403280</v>
      </c>
      <c r="K18" s="42">
        <f>VLOOKUP(A18,贴主险建议书!A:G,7,0)</f>
        <v>4874</v>
      </c>
      <c r="L18" s="42">
        <f>VLOOKUP(A18,贴主险建议书!A:H,8,0)</f>
        <v>42963</v>
      </c>
      <c r="M18" s="42">
        <f t="shared" si="3"/>
        <v>52112</v>
      </c>
      <c r="N18" s="56">
        <f>VLOOKUP(A18,贴主险建议书!A:O,15,0)</f>
        <v>452112</v>
      </c>
      <c r="O18" s="57">
        <f t="shared" si="13"/>
        <v>0</v>
      </c>
      <c r="P18" s="35">
        <f t="shared" si="9"/>
        <v>1199.3640113002261</v>
      </c>
      <c r="Q18" s="50">
        <f t="shared" si="10"/>
        <v>42556.743711308023</v>
      </c>
      <c r="R18" s="34">
        <v>0</v>
      </c>
      <c r="S18" s="34">
        <f t="shared" si="11"/>
        <v>0</v>
      </c>
      <c r="T18" s="62">
        <f t="shared" si="4"/>
        <v>96102.768711308017</v>
      </c>
      <c r="U18" s="63">
        <f t="shared" si="5"/>
        <v>1.8369581578203278</v>
      </c>
      <c r="V18" s="39">
        <f t="shared" si="6"/>
        <v>496102.76871130802</v>
      </c>
      <c r="W18" s="37">
        <f t="shared" si="7"/>
        <v>1.24025692177827</v>
      </c>
    </row>
    <row r="19" spans="1:23" ht="17.399999999999999">
      <c r="A19" s="57">
        <v>14</v>
      </c>
      <c r="B19" s="67">
        <f>VLOOKUP(A19,贴主险建议书!A:B,2,0)</f>
        <v>74</v>
      </c>
      <c r="C19" s="51">
        <f t="shared" si="8"/>
        <v>452316.25353151228</v>
      </c>
      <c r="D19" s="35">
        <f t="shared" si="0"/>
        <v>4297.0044085493664</v>
      </c>
      <c r="E19" s="50">
        <f t="shared" si="1"/>
        <v>56613.257940061623</v>
      </c>
      <c r="F19" s="51">
        <v>0</v>
      </c>
      <c r="G19" s="35">
        <v>0</v>
      </c>
      <c r="H19" s="50">
        <f t="shared" si="12"/>
        <v>1434.0250000000001</v>
      </c>
      <c r="I19" s="57">
        <f t="shared" si="2"/>
        <v>400000</v>
      </c>
      <c r="J19" s="42">
        <f>VLOOKUP(A19,贴主险建议书!A:E,5,0)</f>
        <v>409554</v>
      </c>
      <c r="K19" s="42">
        <f>VLOOKUP(A19,贴主险建议书!A:G,7,0)</f>
        <v>4950</v>
      </c>
      <c r="L19" s="42">
        <f>VLOOKUP(A19,贴主险建议书!A:H,8,0)</f>
        <v>47912</v>
      </c>
      <c r="M19" s="42">
        <f t="shared" si="3"/>
        <v>64747</v>
      </c>
      <c r="N19" s="56">
        <f>VLOOKUP(A19,贴主险建议书!A:O,15,0)</f>
        <v>464747</v>
      </c>
      <c r="O19" s="57">
        <f t="shared" si="13"/>
        <v>0</v>
      </c>
      <c r="P19" s="35">
        <f t="shared" si="9"/>
        <v>1234.1455676279327</v>
      </c>
      <c r="Q19" s="50">
        <f t="shared" si="10"/>
        <v>43790.889278935952</v>
      </c>
      <c r="R19" s="34">
        <v>0</v>
      </c>
      <c r="S19" s="34">
        <f t="shared" si="11"/>
        <v>0</v>
      </c>
      <c r="T19" s="62">
        <f t="shared" si="4"/>
        <v>109971.91427893595</v>
      </c>
      <c r="U19" s="63">
        <f t="shared" si="5"/>
        <v>1.9425116709475887</v>
      </c>
      <c r="V19" s="39">
        <f t="shared" si="6"/>
        <v>509971.91427893599</v>
      </c>
      <c r="W19" s="37">
        <f t="shared" si="7"/>
        <v>1.2749297856973401</v>
      </c>
    </row>
    <row r="20" spans="1:23" ht="17.399999999999999">
      <c r="A20" s="57">
        <v>15</v>
      </c>
      <c r="B20" s="67">
        <f>VLOOKUP(A20,贴主险建议书!A:B,2,0)</f>
        <v>75</v>
      </c>
      <c r="C20" s="51">
        <f t="shared" si="8"/>
        <v>456613.25794006162</v>
      </c>
      <c r="D20" s="35">
        <f t="shared" si="0"/>
        <v>4337.8259504305852</v>
      </c>
      <c r="E20" s="50">
        <f t="shared" si="1"/>
        <v>60951.083890492213</v>
      </c>
      <c r="F20" s="51">
        <v>0</v>
      </c>
      <c r="G20" s="35">
        <v>0</v>
      </c>
      <c r="H20" s="50">
        <f t="shared" si="12"/>
        <v>1434.0250000000001</v>
      </c>
      <c r="I20" s="57">
        <f t="shared" si="2"/>
        <v>400000</v>
      </c>
      <c r="J20" s="42">
        <f>VLOOKUP(A20,贴主险建议书!A:E,5,0)</f>
        <v>415924</v>
      </c>
      <c r="K20" s="42">
        <f>VLOOKUP(A20,贴主险建议书!A:G,7,0)</f>
        <v>5026</v>
      </c>
      <c r="L20" s="42">
        <f>VLOOKUP(A20,贴主险建议书!A:H,8,0)</f>
        <v>52939</v>
      </c>
      <c r="M20" s="42">
        <f t="shared" si="3"/>
        <v>77752</v>
      </c>
      <c r="N20" s="56">
        <f>VLOOKUP(A20,贴主险建议书!A:O,15,0)</f>
        <v>477752</v>
      </c>
      <c r="O20" s="57">
        <f t="shared" si="13"/>
        <v>0</v>
      </c>
      <c r="P20" s="35">
        <f t="shared" si="9"/>
        <v>1269.9357890891426</v>
      </c>
      <c r="Q20" s="50">
        <f t="shared" si="10"/>
        <v>45060.825068025093</v>
      </c>
      <c r="R20" s="34">
        <v>0</v>
      </c>
      <c r="S20" s="34">
        <f t="shared" si="11"/>
        <v>0</v>
      </c>
      <c r="T20" s="62">
        <f t="shared" si="4"/>
        <v>124246.85006802509</v>
      </c>
      <c r="U20" s="63">
        <f t="shared" si="5"/>
        <v>2.0384682623733688</v>
      </c>
      <c r="V20" s="39">
        <f t="shared" si="6"/>
        <v>524246.85006802512</v>
      </c>
      <c r="W20" s="37">
        <f t="shared" si="7"/>
        <v>1.3106171251700627</v>
      </c>
    </row>
    <row r="21" spans="1:23" ht="17.399999999999999">
      <c r="A21" s="57">
        <v>16</v>
      </c>
      <c r="B21" s="67">
        <f>VLOOKUP(A21,贴主险建议书!A:B,2,0)</f>
        <v>76</v>
      </c>
      <c r="C21" s="51">
        <f t="shared" si="8"/>
        <v>460951.08389049221</v>
      </c>
      <c r="D21" s="35">
        <f t="shared" si="0"/>
        <v>4379.0352969596761</v>
      </c>
      <c r="E21" s="50">
        <f t="shared" si="1"/>
        <v>65330.119187451899</v>
      </c>
      <c r="F21" s="51">
        <v>0</v>
      </c>
      <c r="G21" s="35">
        <v>0</v>
      </c>
      <c r="H21" s="50">
        <f t="shared" si="12"/>
        <v>1434.0250000000001</v>
      </c>
      <c r="I21" s="57">
        <f t="shared" si="2"/>
        <v>400000</v>
      </c>
      <c r="J21" s="42">
        <f>VLOOKUP(A21,贴主险建议书!A:E,5,0)</f>
        <v>422357</v>
      </c>
      <c r="K21" s="42">
        <f>VLOOKUP(A21,贴主险建议书!A:G,7,0)</f>
        <v>5103</v>
      </c>
      <c r="L21" s="42">
        <f>VLOOKUP(A21,贴主险建议书!A:H,8,0)</f>
        <v>58042</v>
      </c>
      <c r="M21" s="42">
        <f t="shared" si="3"/>
        <v>91112</v>
      </c>
      <c r="N21" s="56">
        <f>VLOOKUP(A21,贴主险建议书!A:O,15,0)</f>
        <v>491112</v>
      </c>
      <c r="O21" s="57">
        <f t="shared" si="13"/>
        <v>0</v>
      </c>
      <c r="P21" s="35">
        <f t="shared" si="9"/>
        <v>1306.7639269727279</v>
      </c>
      <c r="Q21" s="50">
        <f t="shared" si="10"/>
        <v>46367.588994997823</v>
      </c>
      <c r="R21" s="34">
        <v>0</v>
      </c>
      <c r="S21" s="34">
        <f t="shared" si="11"/>
        <v>0</v>
      </c>
      <c r="T21" s="62">
        <f t="shared" si="4"/>
        <v>138913.61399499781</v>
      </c>
      <c r="U21" s="63">
        <f t="shared" si="5"/>
        <v>2.1263333929701336</v>
      </c>
      <c r="V21" s="39">
        <f t="shared" si="6"/>
        <v>538913.61399499781</v>
      </c>
      <c r="W21" s="37">
        <f t="shared" si="7"/>
        <v>1.3472840349874946</v>
      </c>
    </row>
    <row r="22" spans="1:23" ht="17.399999999999999">
      <c r="A22" s="57">
        <v>17</v>
      </c>
      <c r="B22" s="67">
        <f>VLOOKUP(A22,贴主险建议书!A:B,2,0)</f>
        <v>77</v>
      </c>
      <c r="C22" s="51">
        <f t="shared" si="8"/>
        <v>465330.1191874519</v>
      </c>
      <c r="D22" s="35">
        <f t="shared" si="0"/>
        <v>4420.6361322807925</v>
      </c>
      <c r="E22" s="50">
        <f t="shared" si="1"/>
        <v>69750.755319732707</v>
      </c>
      <c r="F22" s="51">
        <v>0</v>
      </c>
      <c r="G22" s="35">
        <v>0</v>
      </c>
      <c r="H22" s="50">
        <f t="shared" si="12"/>
        <v>1434.0250000000001</v>
      </c>
      <c r="I22" s="57">
        <f t="shared" si="2"/>
        <v>400000</v>
      </c>
      <c r="J22" s="42">
        <f>VLOOKUP(A22,贴主险建议书!A:E,5,0)</f>
        <v>428854</v>
      </c>
      <c r="K22" s="42">
        <f>VLOOKUP(A22,贴主险建议书!A:G,7,0)</f>
        <v>5181</v>
      </c>
      <c r="L22" s="42">
        <f>VLOOKUP(A22,贴主险建议书!A:H,8,0)</f>
        <v>63223</v>
      </c>
      <c r="M22" s="42">
        <f t="shared" si="3"/>
        <v>104842</v>
      </c>
      <c r="N22" s="56">
        <f>VLOOKUP(A22,贴主险建议书!A:O,15,0)</f>
        <v>504842</v>
      </c>
      <c r="O22" s="57">
        <f t="shared" si="13"/>
        <v>0</v>
      </c>
      <c r="P22" s="35">
        <f t="shared" si="9"/>
        <v>1344.660080854937</v>
      </c>
      <c r="Q22" s="50">
        <f t="shared" si="10"/>
        <v>47712.249075852757</v>
      </c>
      <c r="R22" s="34">
        <v>0</v>
      </c>
      <c r="S22" s="34">
        <f t="shared" si="11"/>
        <v>0</v>
      </c>
      <c r="T22" s="62">
        <f t="shared" si="4"/>
        <v>153988.27407585274</v>
      </c>
      <c r="U22" s="63">
        <f t="shared" si="5"/>
        <v>2.2076932840365813</v>
      </c>
      <c r="V22" s="39">
        <f t="shared" si="6"/>
        <v>553988.27407585282</v>
      </c>
      <c r="W22" s="37">
        <f t="shared" si="7"/>
        <v>1.384970685189632</v>
      </c>
    </row>
    <row r="23" spans="1:23" ht="17.399999999999999">
      <c r="A23" s="57">
        <v>18</v>
      </c>
      <c r="B23" s="67">
        <f>VLOOKUP(A23,贴主险建议书!A:B,2,0)</f>
        <v>78</v>
      </c>
      <c r="C23" s="51">
        <f t="shared" si="8"/>
        <v>469750.75531973271</v>
      </c>
      <c r="D23" s="35">
        <f t="shared" si="0"/>
        <v>4462.6321755374602</v>
      </c>
      <c r="E23" s="50">
        <f t="shared" si="1"/>
        <v>74213.387495270174</v>
      </c>
      <c r="F23" s="51">
        <v>0</v>
      </c>
      <c r="G23" s="35">
        <v>0</v>
      </c>
      <c r="H23" s="50">
        <f t="shared" si="12"/>
        <v>1434.0250000000001</v>
      </c>
      <c r="I23" s="57">
        <f t="shared" si="2"/>
        <v>400000</v>
      </c>
      <c r="J23" s="42">
        <f>VLOOKUP(A23,贴主险建议书!A:E,5,0)</f>
        <v>435446</v>
      </c>
      <c r="K23" s="42">
        <f>VLOOKUP(A23,贴主险建议书!A:G,7,0)</f>
        <v>5260</v>
      </c>
      <c r="L23" s="42">
        <f>VLOOKUP(A23,贴主险建议书!A:H,8,0)</f>
        <v>68483</v>
      </c>
      <c r="M23" s="42">
        <f t="shared" si="3"/>
        <v>118973</v>
      </c>
      <c r="N23" s="56">
        <f>VLOOKUP(A23,贴主险建议书!A:O,15,0)</f>
        <v>518973</v>
      </c>
      <c r="O23" s="57">
        <f t="shared" si="13"/>
        <v>0</v>
      </c>
      <c r="P23" s="35">
        <f t="shared" si="9"/>
        <v>1383.65522319973</v>
      </c>
      <c r="Q23" s="50">
        <f t="shared" si="10"/>
        <v>49095.904299052483</v>
      </c>
      <c r="R23" s="34">
        <v>0</v>
      </c>
      <c r="S23" s="34">
        <f t="shared" si="11"/>
        <v>0</v>
      </c>
      <c r="T23" s="62">
        <f t="shared" si="4"/>
        <v>169502.92929905248</v>
      </c>
      <c r="U23" s="63">
        <f t="shared" si="5"/>
        <v>2.2839939668547724</v>
      </c>
      <c r="V23" s="39">
        <f t="shared" si="6"/>
        <v>569502.92929905246</v>
      </c>
      <c r="W23" s="37">
        <f t="shared" si="7"/>
        <v>1.423757323247631</v>
      </c>
    </row>
    <row r="24" spans="1:23" ht="17.399999999999999">
      <c r="A24" s="57">
        <v>19</v>
      </c>
      <c r="B24" s="67">
        <f>VLOOKUP(A24,贴主险建议书!A:B,2,0)</f>
        <v>79</v>
      </c>
      <c r="C24" s="51">
        <f t="shared" si="8"/>
        <v>474213.38749527017</v>
      </c>
      <c r="D24" s="35">
        <f t="shared" si="0"/>
        <v>4505.0271812050669</v>
      </c>
      <c r="E24" s="50">
        <f t="shared" si="1"/>
        <v>78718.414676475222</v>
      </c>
      <c r="F24" s="51">
        <v>0</v>
      </c>
      <c r="G24" s="35">
        <v>0</v>
      </c>
      <c r="H24" s="50">
        <f t="shared" si="12"/>
        <v>1434.0250000000001</v>
      </c>
      <c r="I24" s="57">
        <f t="shared" si="2"/>
        <v>400000</v>
      </c>
      <c r="J24" s="42">
        <f>VLOOKUP(A24,贴主险建议书!A:E,5,0)</f>
        <v>442134</v>
      </c>
      <c r="K24" s="42">
        <f>VLOOKUP(A24,贴主险建议书!A:G,7,0)</f>
        <v>5339</v>
      </c>
      <c r="L24" s="42">
        <f>VLOOKUP(A24,贴主险建议书!A:H,8,0)</f>
        <v>73822</v>
      </c>
      <c r="M24" s="42">
        <f t="shared" si="3"/>
        <v>133505</v>
      </c>
      <c r="N24" s="56">
        <f>VLOOKUP(A24,贴主险建议书!A:O,15,0)</f>
        <v>533505</v>
      </c>
      <c r="O24" s="57">
        <f t="shared" si="13"/>
        <v>0</v>
      </c>
      <c r="P24" s="35">
        <f t="shared" si="9"/>
        <v>1423.7812246725221</v>
      </c>
      <c r="Q24" s="50">
        <f t="shared" si="10"/>
        <v>50519.685523725006</v>
      </c>
      <c r="R24" s="34">
        <v>0</v>
      </c>
      <c r="S24" s="34">
        <f t="shared" si="11"/>
        <v>0</v>
      </c>
      <c r="T24" s="62">
        <f t="shared" si="4"/>
        <v>185458.71052372499</v>
      </c>
      <c r="U24" s="63">
        <f t="shared" si="5"/>
        <v>2.3559761878582242</v>
      </c>
      <c r="V24" s="39">
        <f t="shared" si="6"/>
        <v>585458.71052372502</v>
      </c>
      <c r="W24" s="37">
        <f t="shared" si="7"/>
        <v>1.4636467763093126</v>
      </c>
    </row>
    <row r="25" spans="1:23" ht="17.399999999999999">
      <c r="A25" s="57">
        <v>20</v>
      </c>
      <c r="B25" s="67">
        <f>VLOOKUP(A25,贴主险建议书!A:B,2,0)</f>
        <v>80</v>
      </c>
      <c r="C25" s="51">
        <f t="shared" si="8"/>
        <v>478718.41467647522</v>
      </c>
      <c r="D25" s="35">
        <f t="shared" si="0"/>
        <v>4547.8249394265149</v>
      </c>
      <c r="E25" s="50">
        <f t="shared" si="1"/>
        <v>83266.239615901723</v>
      </c>
      <c r="F25" s="51">
        <v>0</v>
      </c>
      <c r="G25" s="35">
        <v>0</v>
      </c>
      <c r="H25" s="50">
        <f t="shared" si="12"/>
        <v>1434.0250000000001</v>
      </c>
      <c r="I25" s="57">
        <f t="shared" si="2"/>
        <v>400000</v>
      </c>
      <c r="J25" s="42">
        <f>VLOOKUP(A25,贴主险建议书!A:E,5,0)</f>
        <v>448981</v>
      </c>
      <c r="K25" s="42">
        <f>VLOOKUP(A25,贴主险建议书!A:G,7,0)</f>
        <v>5420</v>
      </c>
      <c r="L25" s="42">
        <f>VLOOKUP(A25,贴主险建议书!A:H,8,0)</f>
        <v>79243</v>
      </c>
      <c r="M25" s="42">
        <f t="shared" si="3"/>
        <v>148513</v>
      </c>
      <c r="N25" s="56">
        <f>VLOOKUP(A25,贴主险建议书!A:O,15,0)</f>
        <v>548513</v>
      </c>
      <c r="O25" s="57">
        <f t="shared" si="13"/>
        <v>0</v>
      </c>
      <c r="P25" s="35">
        <f t="shared" si="9"/>
        <v>1465.0708801880253</v>
      </c>
      <c r="Q25" s="50">
        <f t="shared" si="10"/>
        <v>51984.75640391303</v>
      </c>
      <c r="R25" s="34">
        <v>0</v>
      </c>
      <c r="S25" s="34">
        <f t="shared" si="11"/>
        <v>0</v>
      </c>
      <c r="T25" s="62">
        <f t="shared" si="4"/>
        <v>201931.78140391302</v>
      </c>
      <c r="U25" s="63">
        <f t="shared" si="5"/>
        <v>2.425133911839934</v>
      </c>
      <c r="V25" s="39">
        <f t="shared" si="6"/>
        <v>601931.78140391305</v>
      </c>
      <c r="W25" s="37">
        <f t="shared" si="7"/>
        <v>1.5048294535097826</v>
      </c>
    </row>
    <row r="26" spans="1:23" ht="17.399999999999999" hidden="1">
      <c r="A26" s="57">
        <v>21</v>
      </c>
      <c r="B26" s="67">
        <f>VLOOKUP(A26,贴主险建议书!A:B,2,0)</f>
        <v>81</v>
      </c>
      <c r="C26" s="51">
        <f t="shared" si="8"/>
        <v>483266.23961590172</v>
      </c>
      <c r="D26" s="35">
        <f t="shared" si="0"/>
        <v>4591.0292763510661</v>
      </c>
      <c r="E26" s="50">
        <f t="shared" si="1"/>
        <v>87857.268892252818</v>
      </c>
      <c r="F26" s="51">
        <v>0</v>
      </c>
      <c r="G26" s="35">
        <v>0</v>
      </c>
      <c r="H26" s="50">
        <f t="shared" si="12"/>
        <v>1434.0250000000001</v>
      </c>
      <c r="I26" s="57">
        <f t="shared" si="2"/>
        <v>400000</v>
      </c>
      <c r="J26" s="42">
        <f>VLOOKUP(A26,贴主险建议书!A:E,5,0)</f>
        <v>456019</v>
      </c>
      <c r="K26" s="42">
        <f>VLOOKUP(A26,贴主险建议书!A:G,7,0)</f>
        <v>5503</v>
      </c>
      <c r="L26" s="42">
        <f>VLOOKUP(A26,贴主险建议书!A:H,8,0)</f>
        <v>84746</v>
      </c>
      <c r="M26" s="42">
        <f t="shared" si="3"/>
        <v>164039</v>
      </c>
      <c r="N26" s="56">
        <f>VLOOKUP(A26,贴主险建议书!A:O,15,0)</f>
        <v>564039</v>
      </c>
      <c r="O26" s="57">
        <f t="shared" si="13"/>
        <v>0</v>
      </c>
      <c r="P26" s="35">
        <f t="shared" si="9"/>
        <v>1507.5579357134779</v>
      </c>
      <c r="Q26" s="50">
        <f t="shared" si="10"/>
        <v>53492.314339626508</v>
      </c>
      <c r="R26" s="34">
        <v>0</v>
      </c>
      <c r="S26" s="34">
        <f t="shared" si="11"/>
        <v>0</v>
      </c>
      <c r="T26" s="62">
        <f t="shared" si="4"/>
        <v>218965.33933962652</v>
      </c>
      <c r="U26" s="63">
        <f t="shared" si="5"/>
        <v>2.4922848399506154</v>
      </c>
      <c r="V26" s="39">
        <f t="shared" si="6"/>
        <v>618965.33933962649</v>
      </c>
      <c r="W26" s="37">
        <f t="shared" si="7"/>
        <v>1.5474133483490662</v>
      </c>
    </row>
    <row r="27" spans="1:23" ht="17.399999999999999" hidden="1">
      <c r="A27" s="57">
        <v>22</v>
      </c>
      <c r="B27" s="67">
        <f>VLOOKUP(A27,贴主险建议书!A:B,2,0)</f>
        <v>82</v>
      </c>
      <c r="C27" s="51">
        <f t="shared" si="8"/>
        <v>487857.26889225282</v>
      </c>
      <c r="D27" s="35">
        <f t="shared" si="0"/>
        <v>4634.6440544764018</v>
      </c>
      <c r="E27" s="50">
        <f t="shared" si="1"/>
        <v>92491.912946729222</v>
      </c>
      <c r="F27" s="51">
        <v>0</v>
      </c>
      <c r="G27" s="35">
        <v>0</v>
      </c>
      <c r="H27" s="50">
        <f t="shared" si="12"/>
        <v>1434.0250000000001</v>
      </c>
      <c r="I27" s="57">
        <f t="shared" si="2"/>
        <v>400000</v>
      </c>
      <c r="J27" s="42">
        <f>VLOOKUP(A27,贴主险建议书!A:E,5,0)</f>
        <v>463280</v>
      </c>
      <c r="K27" s="42">
        <f>VLOOKUP(A27,贴主险建议书!A:G,7,0)</f>
        <v>5588</v>
      </c>
      <c r="L27" s="42">
        <f>VLOOKUP(A27,贴主险建议书!A:H,8,0)</f>
        <v>90334</v>
      </c>
      <c r="M27" s="42">
        <f t="shared" si="3"/>
        <v>180128</v>
      </c>
      <c r="N27" s="56">
        <f>VLOOKUP(A27,贴主险建议书!A:O,15,0)</f>
        <v>580128</v>
      </c>
      <c r="O27" s="57">
        <f t="shared" si="13"/>
        <v>0</v>
      </c>
      <c r="P27" s="35">
        <f t="shared" si="9"/>
        <v>1551.2771158491687</v>
      </c>
      <c r="Q27" s="50">
        <f t="shared" si="10"/>
        <v>55043.591455475675</v>
      </c>
      <c r="R27" s="34">
        <v>0</v>
      </c>
      <c r="S27" s="34">
        <f t="shared" si="11"/>
        <v>0</v>
      </c>
      <c r="T27" s="62">
        <f t="shared" si="4"/>
        <v>236605.61645547565</v>
      </c>
      <c r="U27" s="63">
        <f t="shared" si="5"/>
        <v>2.5581222067679454</v>
      </c>
      <c r="V27" s="39">
        <f t="shared" si="6"/>
        <v>636605.61645547568</v>
      </c>
      <c r="W27" s="37">
        <f t="shared" si="7"/>
        <v>1.5915140411386892</v>
      </c>
    </row>
    <row r="28" spans="1:23" ht="17.399999999999999" hidden="1">
      <c r="A28" s="57">
        <v>23</v>
      </c>
      <c r="B28" s="67">
        <f>VLOOKUP(A28,贴主险建议书!A:B,2,0)</f>
        <v>83</v>
      </c>
      <c r="C28" s="51">
        <f t="shared" si="8"/>
        <v>492491.91294672922</v>
      </c>
      <c r="D28" s="35">
        <f t="shared" si="0"/>
        <v>4678.6731729939274</v>
      </c>
      <c r="E28" s="50">
        <f t="shared" si="1"/>
        <v>97170.586119723157</v>
      </c>
      <c r="F28" s="51">
        <v>0</v>
      </c>
      <c r="G28" s="35">
        <v>0</v>
      </c>
      <c r="H28" s="50">
        <f t="shared" si="12"/>
        <v>1434.0250000000001</v>
      </c>
      <c r="I28" s="57">
        <f t="shared" si="2"/>
        <v>400000</v>
      </c>
      <c r="J28" s="42">
        <f>VLOOKUP(A28,贴主险建议书!A:E,5,0)</f>
        <v>470892</v>
      </c>
      <c r="K28" s="42">
        <f>VLOOKUP(A28,贴主险建议书!A:G,7,0)</f>
        <v>5676</v>
      </c>
      <c r="L28" s="42">
        <f>VLOOKUP(A28,贴主险建议书!A:H,8,0)</f>
        <v>96011</v>
      </c>
      <c r="M28" s="42">
        <f t="shared" si="3"/>
        <v>196921</v>
      </c>
      <c r="N28" s="56">
        <f>VLOOKUP(A28,贴主险建议书!A:O,15,0)</f>
        <v>596921</v>
      </c>
      <c r="O28" s="57">
        <f t="shared" si="13"/>
        <v>0</v>
      </c>
      <c r="P28" s="35">
        <f t="shared" si="9"/>
        <v>1596.2641522087947</v>
      </c>
      <c r="Q28" s="50">
        <f t="shared" si="10"/>
        <v>56639.855607684469</v>
      </c>
      <c r="R28" s="34">
        <v>0</v>
      </c>
      <c r="S28" s="34">
        <f t="shared" si="11"/>
        <v>0</v>
      </c>
      <c r="T28" s="62">
        <f t="shared" si="4"/>
        <v>254994.88060768446</v>
      </c>
      <c r="U28" s="63">
        <f t="shared" si="5"/>
        <v>2.6241982351892696</v>
      </c>
      <c r="V28" s="39">
        <f t="shared" si="6"/>
        <v>654994.88060768449</v>
      </c>
      <c r="W28" s="37">
        <f t="shared" si="7"/>
        <v>1.6374872015192112</v>
      </c>
    </row>
    <row r="29" spans="1:23" ht="17.399999999999999" hidden="1">
      <c r="A29" s="57">
        <v>24</v>
      </c>
      <c r="B29" s="67">
        <f>VLOOKUP(A29,贴主险建议书!A:B,2,0)</f>
        <v>84</v>
      </c>
      <c r="C29" s="51">
        <f t="shared" si="8"/>
        <v>497170.58611972316</v>
      </c>
      <c r="D29" s="35">
        <f t="shared" si="0"/>
        <v>4723.1205681373694</v>
      </c>
      <c r="E29" s="50">
        <f t="shared" si="1"/>
        <v>101893.70668786054</v>
      </c>
      <c r="F29" s="51">
        <v>0</v>
      </c>
      <c r="G29" s="35">
        <v>0</v>
      </c>
      <c r="H29" s="50">
        <f t="shared" si="12"/>
        <v>1434.0250000000001</v>
      </c>
      <c r="I29" s="57">
        <f t="shared" si="2"/>
        <v>400000</v>
      </c>
      <c r="J29" s="42">
        <f>VLOOKUP(A29,贴主险建议书!A:E,5,0)</f>
        <v>478885</v>
      </c>
      <c r="K29" s="42">
        <f>VLOOKUP(A29,贴主险建议书!A:G,7,0)</f>
        <v>5769</v>
      </c>
      <c r="L29" s="42">
        <f>VLOOKUP(A29,贴主险建议书!A:H,8,0)</f>
        <v>101779</v>
      </c>
      <c r="M29" s="42">
        <f t="shared" si="3"/>
        <v>214463</v>
      </c>
      <c r="N29" s="56">
        <f>VLOOKUP(A29,贴主险建议书!A:O,15,0)</f>
        <v>614463</v>
      </c>
      <c r="O29" s="57">
        <f t="shared" si="13"/>
        <v>0</v>
      </c>
      <c r="P29" s="35">
        <f t="shared" si="9"/>
        <v>1642.5558126228498</v>
      </c>
      <c r="Q29" s="50">
        <f t="shared" si="10"/>
        <v>58282.411420307319</v>
      </c>
      <c r="R29" s="34">
        <v>0</v>
      </c>
      <c r="S29" s="34">
        <f t="shared" si="11"/>
        <v>0</v>
      </c>
      <c r="T29" s="62">
        <f t="shared" si="4"/>
        <v>274179.43642030732</v>
      </c>
      <c r="U29" s="63">
        <f t="shared" si="5"/>
        <v>2.6908377890326824</v>
      </c>
      <c r="V29" s="39">
        <f t="shared" si="6"/>
        <v>674179.43642030738</v>
      </c>
      <c r="W29" s="37">
        <f t="shared" si="7"/>
        <v>1.6854485910507684</v>
      </c>
    </row>
    <row r="30" spans="1:23" ht="17.399999999999999" hidden="1">
      <c r="A30" s="57">
        <v>25</v>
      </c>
      <c r="B30" s="67">
        <f>VLOOKUP(A30,贴主险建议书!A:B,2,0)</f>
        <v>85</v>
      </c>
      <c r="C30" s="51">
        <f t="shared" si="8"/>
        <v>501893.70668786054</v>
      </c>
      <c r="D30" s="35">
        <f t="shared" si="0"/>
        <v>4767.9902135346747</v>
      </c>
      <c r="E30" s="50">
        <f t="shared" si="1"/>
        <v>106661.69690139522</v>
      </c>
      <c r="F30" s="51">
        <v>0</v>
      </c>
      <c r="G30" s="35">
        <v>0</v>
      </c>
      <c r="H30" s="50">
        <f t="shared" si="12"/>
        <v>1434.0250000000001</v>
      </c>
      <c r="I30" s="57">
        <f t="shared" si="2"/>
        <v>400000</v>
      </c>
      <c r="J30" s="42">
        <f>VLOOKUP(A30,贴主险建议书!A:E,5,0)</f>
        <v>487261</v>
      </c>
      <c r="K30" s="42">
        <f>VLOOKUP(A30,贴主险建议书!A:G,7,0)</f>
        <v>5867</v>
      </c>
      <c r="L30" s="42">
        <f>VLOOKUP(A30,贴主险建议书!A:H,8,0)</f>
        <v>107646</v>
      </c>
      <c r="M30" s="42">
        <f t="shared" si="3"/>
        <v>232772</v>
      </c>
      <c r="N30" s="56">
        <f>VLOOKUP(A30,贴主险建议书!A:O,15,0)</f>
        <v>632772</v>
      </c>
      <c r="O30" s="57">
        <f t="shared" si="13"/>
        <v>0</v>
      </c>
      <c r="P30" s="35">
        <f t="shared" si="9"/>
        <v>1690.1899311889124</v>
      </c>
      <c r="Q30" s="50">
        <f t="shared" si="10"/>
        <v>59972.601351496232</v>
      </c>
      <c r="R30" s="34">
        <v>0</v>
      </c>
      <c r="S30" s="34">
        <f t="shared" si="11"/>
        <v>0</v>
      </c>
      <c r="T30" s="62">
        <f t="shared" si="4"/>
        <v>294178.62635149626</v>
      </c>
      <c r="U30" s="63">
        <f t="shared" si="5"/>
        <v>2.7580531240137076</v>
      </c>
      <c r="V30" s="39">
        <f t="shared" si="6"/>
        <v>694178.6263514962</v>
      </c>
      <c r="W30" s="37">
        <f t="shared" si="7"/>
        <v>1.7354465658787406</v>
      </c>
    </row>
    <row r="31" spans="1:23" ht="17.399999999999999" hidden="1">
      <c r="A31" s="57">
        <v>26</v>
      </c>
      <c r="B31" s="67">
        <f>VLOOKUP(A31,贴主险建议书!A:B,2,0)</f>
        <v>86</v>
      </c>
      <c r="C31" s="51">
        <f t="shared" si="8"/>
        <v>506661.69690139522</v>
      </c>
      <c r="D31" s="35">
        <f t="shared" si="0"/>
        <v>4813.2861205632544</v>
      </c>
      <c r="E31" s="50">
        <f t="shared" si="1"/>
        <v>111474.9830219585</v>
      </c>
      <c r="F31" s="51">
        <v>0</v>
      </c>
      <c r="G31" s="35">
        <v>0</v>
      </c>
      <c r="H31" s="50">
        <f t="shared" si="12"/>
        <v>1434.0250000000001</v>
      </c>
      <c r="I31" s="57">
        <f t="shared" si="2"/>
        <v>400000</v>
      </c>
      <c r="J31" s="42">
        <f>VLOOKUP(A31,贴主险建议书!A:E,5,0)</f>
        <v>495796</v>
      </c>
      <c r="K31" s="42">
        <f>VLOOKUP(A31,贴主险建议书!A:G,7,0)</f>
        <v>5969</v>
      </c>
      <c r="L31" s="42">
        <f>VLOOKUP(A31,贴主险建议书!A:H,8,0)</f>
        <v>113615</v>
      </c>
      <c r="M31" s="42">
        <f t="shared" si="3"/>
        <v>251641</v>
      </c>
      <c r="N31" s="56">
        <f>VLOOKUP(A31,贴主险建议书!A:O,15,0)</f>
        <v>651641</v>
      </c>
      <c r="O31" s="57">
        <f t="shared" si="13"/>
        <v>0</v>
      </c>
      <c r="P31" s="35">
        <f t="shared" si="9"/>
        <v>1739.2054391933909</v>
      </c>
      <c r="Q31" s="50">
        <f t="shared" si="10"/>
        <v>61711.806790689625</v>
      </c>
      <c r="R31" s="34">
        <v>0</v>
      </c>
      <c r="S31" s="34">
        <f t="shared" si="11"/>
        <v>0</v>
      </c>
      <c r="T31" s="62">
        <f t="shared" si="4"/>
        <v>314786.83179068967</v>
      </c>
      <c r="U31" s="63">
        <f t="shared" si="5"/>
        <v>2.8238338617076311</v>
      </c>
      <c r="V31" s="39">
        <f t="shared" si="6"/>
        <v>714786.83179068961</v>
      </c>
      <c r="W31" s="37">
        <f t="shared" si="7"/>
        <v>1.7869670794767241</v>
      </c>
    </row>
    <row r="32" spans="1:23" ht="17.399999999999999" hidden="1">
      <c r="A32" s="57">
        <v>27</v>
      </c>
      <c r="B32" s="67">
        <f>VLOOKUP(A32,贴主险建议书!A:B,2,0)</f>
        <v>87</v>
      </c>
      <c r="C32" s="51">
        <f t="shared" si="8"/>
        <v>511474.9830219585</v>
      </c>
      <c r="D32" s="35">
        <f t="shared" si="0"/>
        <v>4859.012338708606</v>
      </c>
      <c r="E32" s="50">
        <f t="shared" si="1"/>
        <v>116333.99536066712</v>
      </c>
      <c r="F32" s="51">
        <v>0</v>
      </c>
      <c r="G32" s="35">
        <v>0</v>
      </c>
      <c r="H32" s="50">
        <f t="shared" si="12"/>
        <v>1434.0250000000001</v>
      </c>
      <c r="I32" s="57">
        <f t="shared" si="2"/>
        <v>400000</v>
      </c>
      <c r="J32" s="42">
        <f>VLOOKUP(A32,贴主险建议书!A:E,5,0)</f>
        <v>504490</v>
      </c>
      <c r="K32" s="42">
        <f>VLOOKUP(A32,贴主险建议书!A:G,7,0)</f>
        <v>6074</v>
      </c>
      <c r="L32" s="42">
        <f>VLOOKUP(A32,贴主险建议书!A:H,8,0)</f>
        <v>119689</v>
      </c>
      <c r="M32" s="42">
        <f t="shared" si="3"/>
        <v>271083</v>
      </c>
      <c r="N32" s="56">
        <f>VLOOKUP(A32,贴主险建议书!A:O,15,0)</f>
        <v>671083</v>
      </c>
      <c r="O32" s="57">
        <f t="shared" si="13"/>
        <v>0</v>
      </c>
      <c r="P32" s="35">
        <f t="shared" si="9"/>
        <v>1789.6423969299992</v>
      </c>
      <c r="Q32" s="50">
        <f t="shared" si="10"/>
        <v>63501.449187619626</v>
      </c>
      <c r="R32" s="34">
        <v>0</v>
      </c>
      <c r="S32" s="34">
        <f t="shared" si="11"/>
        <v>0</v>
      </c>
      <c r="T32" s="62">
        <f t="shared" si="4"/>
        <v>336018.47418761963</v>
      </c>
      <c r="U32" s="63">
        <f t="shared" si="5"/>
        <v>2.8883945156862421</v>
      </c>
      <c r="V32" s="39">
        <f t="shared" si="6"/>
        <v>736018.47418761963</v>
      </c>
      <c r="W32" s="37">
        <f t="shared" si="7"/>
        <v>1.8400461854690491</v>
      </c>
    </row>
    <row r="33" spans="1:23" ht="17.399999999999999" hidden="1">
      <c r="A33" s="57">
        <v>28</v>
      </c>
      <c r="B33" s="67">
        <f>VLOOKUP(A33,贴主险建议书!A:B,2,0)</f>
        <v>88</v>
      </c>
      <c r="C33" s="51">
        <f t="shared" si="8"/>
        <v>516333.99536066712</v>
      </c>
      <c r="D33" s="35">
        <f t="shared" si="0"/>
        <v>4905.1729559263376</v>
      </c>
      <c r="E33" s="50">
        <f t="shared" si="1"/>
        <v>121239.16831659345</v>
      </c>
      <c r="F33" s="51">
        <v>0</v>
      </c>
      <c r="G33" s="35">
        <v>0</v>
      </c>
      <c r="H33" s="50">
        <f t="shared" si="12"/>
        <v>1434.0250000000001</v>
      </c>
      <c r="I33" s="57">
        <f t="shared" si="2"/>
        <v>400000</v>
      </c>
      <c r="J33" s="42">
        <f>VLOOKUP(A33,贴主险建议书!A:E,5,0)</f>
        <v>513312</v>
      </c>
      <c r="K33" s="42">
        <f>VLOOKUP(A33,贴主险建议书!A:G,7,0)</f>
        <v>6180</v>
      </c>
      <c r="L33" s="42">
        <f>VLOOKUP(A33,贴主险建议书!A:H,8,0)</f>
        <v>125869</v>
      </c>
      <c r="M33" s="42">
        <f t="shared" si="3"/>
        <v>291081</v>
      </c>
      <c r="N33" s="56">
        <f>VLOOKUP(A33,贴主险建议书!A:O,15,0)</f>
        <v>691081</v>
      </c>
      <c r="O33" s="57">
        <f t="shared" si="13"/>
        <v>0</v>
      </c>
      <c r="P33" s="35">
        <f t="shared" si="9"/>
        <v>1841.5420264409693</v>
      </c>
      <c r="Q33" s="50">
        <f t="shared" si="10"/>
        <v>65342.991214060596</v>
      </c>
      <c r="R33" s="34">
        <v>0</v>
      </c>
      <c r="S33" s="34">
        <f t="shared" si="11"/>
        <v>0</v>
      </c>
      <c r="T33" s="62">
        <f t="shared" si="4"/>
        <v>357858.0162140606</v>
      </c>
      <c r="U33" s="63">
        <f t="shared" si="5"/>
        <v>2.9516700022189299</v>
      </c>
      <c r="V33" s="39">
        <f t="shared" si="6"/>
        <v>757858.0162140606</v>
      </c>
      <c r="W33" s="37">
        <f t="shared" si="7"/>
        <v>1.8946450405351516</v>
      </c>
    </row>
    <row r="34" spans="1:23" ht="17.399999999999999" hidden="1">
      <c r="A34" s="57">
        <v>29</v>
      </c>
      <c r="B34" s="67">
        <f>VLOOKUP(A34,贴主险建议书!A:B,2,0)</f>
        <v>89</v>
      </c>
      <c r="C34" s="51">
        <f t="shared" si="8"/>
        <v>521239.16831659345</v>
      </c>
      <c r="D34" s="35">
        <f t="shared" si="0"/>
        <v>4951.7720990076377</v>
      </c>
      <c r="E34" s="50">
        <f t="shared" si="1"/>
        <v>126190.94041560113</v>
      </c>
      <c r="F34" s="51">
        <v>0</v>
      </c>
      <c r="G34" s="35">
        <v>0</v>
      </c>
      <c r="H34" s="50">
        <f t="shared" si="12"/>
        <v>1434.0250000000001</v>
      </c>
      <c r="I34" s="57">
        <f t="shared" si="2"/>
        <v>400000</v>
      </c>
      <c r="J34" s="42">
        <f>VLOOKUP(A34,贴主险建议书!A:E,5,0)</f>
        <v>522293</v>
      </c>
      <c r="K34" s="42">
        <f>VLOOKUP(A34,贴主险建议书!A:G,7,0)</f>
        <v>6288</v>
      </c>
      <c r="L34" s="42">
        <f>VLOOKUP(A34,贴主险建议书!A:H,8,0)</f>
        <v>132157</v>
      </c>
      <c r="M34" s="42">
        <f t="shared" si="3"/>
        <v>311682</v>
      </c>
      <c r="N34" s="56">
        <f>VLOOKUP(A34,贴主险建议书!A:O,15,0)</f>
        <v>711682</v>
      </c>
      <c r="O34" s="57">
        <f t="shared" si="13"/>
        <v>0</v>
      </c>
      <c r="P34" s="35">
        <f t="shared" si="9"/>
        <v>1894.9467452077574</v>
      </c>
      <c r="Q34" s="50">
        <f t="shared" si="10"/>
        <v>67237.937959268354</v>
      </c>
      <c r="R34" s="34">
        <v>0</v>
      </c>
      <c r="S34" s="34">
        <f t="shared" si="11"/>
        <v>0</v>
      </c>
      <c r="T34" s="62">
        <f t="shared" si="4"/>
        <v>380353.96295926836</v>
      </c>
      <c r="U34" s="63">
        <f t="shared" si="5"/>
        <v>3.0141146559855954</v>
      </c>
      <c r="V34" s="39">
        <f t="shared" si="6"/>
        <v>780353.96295926836</v>
      </c>
      <c r="W34" s="37">
        <f t="shared" si="7"/>
        <v>1.9508849073981709</v>
      </c>
    </row>
    <row r="35" spans="1:23" ht="17.399999999999999">
      <c r="A35" s="57">
        <v>30</v>
      </c>
      <c r="B35" s="67">
        <f>VLOOKUP(A35,贴主险建议书!A:B,2,0)</f>
        <v>90</v>
      </c>
      <c r="C35" s="51">
        <f t="shared" si="8"/>
        <v>526190.94041560113</v>
      </c>
      <c r="D35" s="35">
        <f t="shared" si="0"/>
        <v>4998.8139339482104</v>
      </c>
      <c r="E35" s="50">
        <f t="shared" si="1"/>
        <v>131189.7543495493</v>
      </c>
      <c r="F35" s="51">
        <v>0</v>
      </c>
      <c r="G35" s="35">
        <v>0</v>
      </c>
      <c r="H35" s="50">
        <f t="shared" si="12"/>
        <v>1434.0250000000001</v>
      </c>
      <c r="I35" s="57">
        <f t="shared" si="2"/>
        <v>400000</v>
      </c>
      <c r="J35" s="42">
        <f>VLOOKUP(A35,贴主险建议书!A:E,5,0)</f>
        <v>531433</v>
      </c>
      <c r="K35" s="42">
        <f>VLOOKUP(A35,贴主险建议书!A:G,7,0)</f>
        <v>6398</v>
      </c>
      <c r="L35" s="42">
        <f>VLOOKUP(A35,贴主险建议书!A:H,8,0)</f>
        <v>138555</v>
      </c>
      <c r="M35" s="42">
        <f t="shared" si="3"/>
        <v>332901</v>
      </c>
      <c r="N35" s="56">
        <f>VLOOKUP(A35,贴主险建议书!A:O,15,0)</f>
        <v>732901</v>
      </c>
      <c r="O35" s="57">
        <f t="shared" si="13"/>
        <v>0</v>
      </c>
      <c r="P35" s="35">
        <f t="shared" si="9"/>
        <v>1949.9002008187824</v>
      </c>
      <c r="Q35" s="50">
        <f t="shared" si="10"/>
        <v>69187.838160087136</v>
      </c>
      <c r="R35" s="34">
        <v>0</v>
      </c>
      <c r="S35" s="34">
        <f t="shared" si="11"/>
        <v>0</v>
      </c>
      <c r="T35" s="62">
        <f t="shared" si="4"/>
        <v>403522.86316008714</v>
      </c>
      <c r="U35" s="63">
        <f t="shared" si="5"/>
        <v>3.0758717794753871</v>
      </c>
      <c r="V35" s="39">
        <f t="shared" si="6"/>
        <v>803522.86316008714</v>
      </c>
      <c r="W35" s="37">
        <f t="shared" si="7"/>
        <v>2.0088071579002178</v>
      </c>
    </row>
    <row r="36" spans="1:23" ht="17.399999999999999" hidden="1">
      <c r="A36" s="57">
        <v>31</v>
      </c>
      <c r="B36" s="67">
        <f>VLOOKUP(A36,贴主险建议书!A:B,2,0)</f>
        <v>91</v>
      </c>
      <c r="C36" s="51">
        <f t="shared" si="8"/>
        <v>531189.7543495493</v>
      </c>
      <c r="D36" s="35">
        <f t="shared" si="0"/>
        <v>5046.3026663207183</v>
      </c>
      <c r="E36" s="50">
        <f t="shared" si="1"/>
        <v>136236.05701587</v>
      </c>
      <c r="F36" s="51">
        <v>0</v>
      </c>
      <c r="G36" s="35">
        <v>0</v>
      </c>
      <c r="H36" s="50">
        <f t="shared" si="12"/>
        <v>1434.0250000000001</v>
      </c>
      <c r="I36" s="57">
        <f t="shared" si="2"/>
        <v>400000</v>
      </c>
      <c r="J36" s="42">
        <f>VLOOKUP(A36,贴主险建议书!A:E,5,0)</f>
        <v>540701</v>
      </c>
      <c r="K36" s="42">
        <f>VLOOKUP(A36,贴主险建议书!A:G,7,0)</f>
        <v>6510</v>
      </c>
      <c r="L36" s="42">
        <f>VLOOKUP(A36,贴主险建议书!A:H,8,0)</f>
        <v>145065</v>
      </c>
      <c r="M36" s="42">
        <f t="shared" si="3"/>
        <v>354721</v>
      </c>
      <c r="N36" s="56">
        <f>VLOOKUP(A36,贴主险建议书!A:O,15,0)</f>
        <v>754721</v>
      </c>
      <c r="O36" s="57">
        <f t="shared" si="13"/>
        <v>0</v>
      </c>
      <c r="P36" s="35">
        <f t="shared" si="9"/>
        <v>2006.4473066425271</v>
      </c>
      <c r="Q36" s="50">
        <f t="shared" si="10"/>
        <v>71194.285466729663</v>
      </c>
      <c r="R36" s="34">
        <v>0</v>
      </c>
      <c r="S36" s="34">
        <f t="shared" si="11"/>
        <v>0</v>
      </c>
      <c r="T36" s="62">
        <f t="shared" si="4"/>
        <v>427349.31046672969</v>
      </c>
      <c r="U36" s="63">
        <f t="shared" si="5"/>
        <v>3.1368297044661841</v>
      </c>
      <c r="V36" s="39">
        <f t="shared" si="6"/>
        <v>827349.31046672969</v>
      </c>
      <c r="W36" s="37">
        <f t="shared" si="7"/>
        <v>2.0683732761668243</v>
      </c>
    </row>
    <row r="37" spans="1:23" ht="17.399999999999999" hidden="1">
      <c r="A37" s="57">
        <v>32</v>
      </c>
      <c r="B37" s="67">
        <f>VLOOKUP(A37,贴主险建议书!A:B,2,0)</f>
        <v>92</v>
      </c>
      <c r="C37" s="51">
        <f t="shared" si="8"/>
        <v>536236.05701587</v>
      </c>
      <c r="D37" s="35">
        <f t="shared" si="0"/>
        <v>5094.2425416507649</v>
      </c>
      <c r="E37" s="50">
        <f t="shared" si="1"/>
        <v>141330.29955752078</v>
      </c>
      <c r="F37" s="51">
        <v>0</v>
      </c>
      <c r="G37" s="35">
        <v>0</v>
      </c>
      <c r="H37" s="50">
        <f t="shared" si="12"/>
        <v>1434.0250000000001</v>
      </c>
      <c r="I37" s="57">
        <f t="shared" si="2"/>
        <v>400000</v>
      </c>
      <c r="J37" s="42">
        <f>VLOOKUP(A37,贴主险建议书!A:E,5,0)</f>
        <v>550159</v>
      </c>
      <c r="K37" s="42">
        <f>VLOOKUP(A37,贴主险建议书!A:G,7,0)</f>
        <v>6624</v>
      </c>
      <c r="L37" s="42">
        <f>VLOOKUP(A37,贴主险建议书!A:H,8,0)</f>
        <v>151689</v>
      </c>
      <c r="M37" s="42">
        <f t="shared" si="3"/>
        <v>377223</v>
      </c>
      <c r="N37" s="56">
        <f>VLOOKUP(A37,贴主险建议书!A:O,15,0)</f>
        <v>777223</v>
      </c>
      <c r="O37" s="57">
        <f t="shared" si="13"/>
        <v>0</v>
      </c>
      <c r="P37" s="35">
        <f t="shared" si="9"/>
        <v>2064.6342785351603</v>
      </c>
      <c r="Q37" s="50">
        <f t="shared" si="10"/>
        <v>73258.919745264822</v>
      </c>
      <c r="R37" s="34">
        <v>0</v>
      </c>
      <c r="S37" s="34">
        <f t="shared" si="11"/>
        <v>0</v>
      </c>
      <c r="T37" s="62">
        <f t="shared" si="4"/>
        <v>451915.94474526483</v>
      </c>
      <c r="U37" s="63">
        <f t="shared" si="5"/>
        <v>3.1975871144413528</v>
      </c>
      <c r="V37" s="39">
        <f t="shared" si="6"/>
        <v>851915.94474526483</v>
      </c>
      <c r="W37" s="37">
        <f t="shared" si="7"/>
        <v>2.1297898618631619</v>
      </c>
    </row>
    <row r="38" spans="1:23" ht="17.399999999999999" hidden="1">
      <c r="A38" s="57">
        <v>33</v>
      </c>
      <c r="B38" s="67">
        <f>VLOOKUP(A38,贴主险建议书!A:B,2,0)</f>
        <v>93</v>
      </c>
      <c r="C38" s="51">
        <f t="shared" si="8"/>
        <v>541330.29955752078</v>
      </c>
      <c r="D38" s="35">
        <f t="shared" si="0"/>
        <v>5142.6378457964474</v>
      </c>
      <c r="E38" s="50">
        <f t="shared" si="1"/>
        <v>146472.93740331719</v>
      </c>
      <c r="F38" s="51">
        <v>0</v>
      </c>
      <c r="G38" s="35">
        <v>0</v>
      </c>
      <c r="H38" s="50">
        <f t="shared" si="12"/>
        <v>1434.0250000000001</v>
      </c>
      <c r="I38" s="57">
        <f t="shared" si="2"/>
        <v>400000</v>
      </c>
      <c r="J38" s="42">
        <f>VLOOKUP(A38,贴主险建议书!A:E,5,0)</f>
        <v>559809</v>
      </c>
      <c r="K38" s="42">
        <f>VLOOKUP(A38,贴主险建议书!A:G,7,0)</f>
        <v>6740</v>
      </c>
      <c r="L38" s="42">
        <f>VLOOKUP(A38,贴主险建议书!A:H,8,0)</f>
        <v>158428</v>
      </c>
      <c r="M38" s="42">
        <f t="shared" si="3"/>
        <v>400423</v>
      </c>
      <c r="N38" s="56">
        <f>VLOOKUP(A38,贴主险建议书!A:O,15,0)</f>
        <v>800423</v>
      </c>
      <c r="O38" s="57">
        <f t="shared" si="13"/>
        <v>0</v>
      </c>
      <c r="P38" s="35">
        <f t="shared" si="9"/>
        <v>2124.5086726126801</v>
      </c>
      <c r="Q38" s="50">
        <f t="shared" si="10"/>
        <v>75383.428417877498</v>
      </c>
      <c r="R38" s="34">
        <v>0</v>
      </c>
      <c r="S38" s="34">
        <f t="shared" si="11"/>
        <v>0</v>
      </c>
      <c r="T38" s="62">
        <f t="shared" si="4"/>
        <v>477240.45341787755</v>
      </c>
      <c r="U38" s="63">
        <f t="shared" si="5"/>
        <v>3.2582158989805952</v>
      </c>
      <c r="V38" s="39">
        <f t="shared" si="6"/>
        <v>877240.45341787755</v>
      </c>
      <c r="W38" s="37">
        <f t="shared" si="7"/>
        <v>2.1931011335446939</v>
      </c>
    </row>
    <row r="39" spans="1:23" ht="17.399999999999999" hidden="1">
      <c r="A39" s="57">
        <v>34</v>
      </c>
      <c r="B39" s="67">
        <f>VLOOKUP(A39,贴主险建议书!A:B,2,0)</f>
        <v>94</v>
      </c>
      <c r="C39" s="51">
        <f t="shared" si="8"/>
        <v>546472.93740331719</v>
      </c>
      <c r="D39" s="35">
        <f t="shared" si="0"/>
        <v>5191.4929053315136</v>
      </c>
      <c r="E39" s="50">
        <f t="shared" si="1"/>
        <v>151664.43030864873</v>
      </c>
      <c r="F39" s="51">
        <v>0</v>
      </c>
      <c r="G39" s="35">
        <v>0</v>
      </c>
      <c r="H39" s="50">
        <f t="shared" si="12"/>
        <v>1434.0250000000001</v>
      </c>
      <c r="I39" s="57">
        <f t="shared" si="2"/>
        <v>400000</v>
      </c>
      <c r="J39" s="42">
        <f>VLOOKUP(A39,贴主险建议书!A:E,5,0)</f>
        <v>569586</v>
      </c>
      <c r="K39" s="42">
        <f>VLOOKUP(A39,贴主险建议书!A:G,7,0)</f>
        <v>6858</v>
      </c>
      <c r="L39" s="42">
        <f>VLOOKUP(A39,贴主险建议书!A:H,8,0)</f>
        <v>165286</v>
      </c>
      <c r="M39" s="42">
        <f t="shared" si="3"/>
        <v>424275</v>
      </c>
      <c r="N39" s="56">
        <f>VLOOKUP(A39,贴主险建议书!A:O,15,0)</f>
        <v>824275</v>
      </c>
      <c r="O39" s="57">
        <f t="shared" si="13"/>
        <v>0</v>
      </c>
      <c r="P39" s="35">
        <f t="shared" si="9"/>
        <v>2186.1194241184476</v>
      </c>
      <c r="Q39" s="50">
        <f t="shared" si="10"/>
        <v>77569.54784199594</v>
      </c>
      <c r="R39" s="34">
        <v>0</v>
      </c>
      <c r="S39" s="34">
        <f t="shared" si="11"/>
        <v>0</v>
      </c>
      <c r="T39" s="62">
        <f t="shared" si="4"/>
        <v>503278.57284199598</v>
      </c>
      <c r="U39" s="63">
        <f t="shared" si="5"/>
        <v>3.318369190572803</v>
      </c>
      <c r="V39" s="39">
        <f t="shared" si="6"/>
        <v>903278.57284199598</v>
      </c>
      <c r="W39" s="37">
        <f t="shared" si="7"/>
        <v>2.2581964321049899</v>
      </c>
    </row>
    <row r="40" spans="1:23" ht="17.399999999999999" hidden="1">
      <c r="A40" s="57">
        <v>35</v>
      </c>
      <c r="B40" s="67">
        <f>VLOOKUP(A40,贴主险建议书!A:B,2,0)</f>
        <v>95</v>
      </c>
      <c r="C40" s="51">
        <f t="shared" si="8"/>
        <v>551664.43030864873</v>
      </c>
      <c r="D40" s="35">
        <f t="shared" si="0"/>
        <v>5240.8120879321632</v>
      </c>
      <c r="E40" s="50">
        <f t="shared" si="1"/>
        <v>156905.24239658087</v>
      </c>
      <c r="F40" s="51">
        <v>0</v>
      </c>
      <c r="G40" s="35">
        <v>0</v>
      </c>
      <c r="H40" s="50">
        <f t="shared" si="12"/>
        <v>1434.0250000000001</v>
      </c>
      <c r="I40" s="57">
        <f t="shared" si="2"/>
        <v>400000</v>
      </c>
      <c r="J40" s="42">
        <f>VLOOKUP(A40,贴主险建议书!A:E,5,0)</f>
        <v>579554</v>
      </c>
      <c r="K40" s="42">
        <f>VLOOKUP(A40,贴主险建议书!A:G,7,0)</f>
        <v>6978</v>
      </c>
      <c r="L40" s="42">
        <f>VLOOKUP(A40,贴主险建议书!A:H,8,0)</f>
        <v>172263</v>
      </c>
      <c r="M40" s="42">
        <f t="shared" si="3"/>
        <v>448860</v>
      </c>
      <c r="N40" s="56">
        <f>VLOOKUP(A40,贴主险建议书!A:O,15,0)</f>
        <v>848860</v>
      </c>
      <c r="O40" s="57">
        <f t="shared" si="13"/>
        <v>0</v>
      </c>
      <c r="P40" s="35">
        <f t="shared" si="9"/>
        <v>2249.5168874178826</v>
      </c>
      <c r="Q40" s="50">
        <f t="shared" si="10"/>
        <v>79819.064729413818</v>
      </c>
      <c r="R40" s="34">
        <v>0</v>
      </c>
      <c r="S40" s="34">
        <f t="shared" si="11"/>
        <v>0</v>
      </c>
      <c r="T40" s="62">
        <f t="shared" si="4"/>
        <v>530113.08972941386</v>
      </c>
      <c r="U40" s="63">
        <f t="shared" si="5"/>
        <v>3.3785556277944067</v>
      </c>
      <c r="V40" s="39">
        <f t="shared" si="6"/>
        <v>930113.08972941386</v>
      </c>
      <c r="W40" s="37">
        <f t="shared" si="7"/>
        <v>2.3252827243235346</v>
      </c>
    </row>
    <row r="41" spans="1:23" ht="17.399999999999999" hidden="1">
      <c r="A41" s="57">
        <v>36</v>
      </c>
      <c r="B41" s="67">
        <f>VLOOKUP(A41,贴主险建议书!A:B,2,0)</f>
        <v>96</v>
      </c>
      <c r="C41" s="51">
        <f t="shared" si="8"/>
        <v>556905.24239658087</v>
      </c>
      <c r="D41" s="35">
        <f t="shared" si="0"/>
        <v>5290.5998027675178</v>
      </c>
      <c r="E41" s="50">
        <f t="shared" si="1"/>
        <v>162195.84219934838</v>
      </c>
      <c r="F41" s="51">
        <v>0</v>
      </c>
      <c r="G41" s="35">
        <v>0</v>
      </c>
      <c r="H41" s="50">
        <f t="shared" si="12"/>
        <v>1434.0250000000001</v>
      </c>
      <c r="I41" s="57">
        <f t="shared" si="2"/>
        <v>400000</v>
      </c>
      <c r="J41" s="42">
        <f>VLOOKUP(A41,贴主险建议书!A:E,5,0)</f>
        <v>589682</v>
      </c>
      <c r="K41" s="42">
        <f>VLOOKUP(A41,贴主险建议书!A:G,7,0)</f>
        <v>7100</v>
      </c>
      <c r="L41" s="42">
        <f>VLOOKUP(A41,贴主险建议书!A:H,8,0)</f>
        <v>179363</v>
      </c>
      <c r="M41" s="42">
        <f t="shared" si="3"/>
        <v>474165</v>
      </c>
      <c r="N41" s="56">
        <f>VLOOKUP(A41,贴主险建议书!A:O,15,0)</f>
        <v>874165</v>
      </c>
      <c r="O41" s="57">
        <f t="shared" si="13"/>
        <v>0</v>
      </c>
      <c r="P41" s="35">
        <f t="shared" si="9"/>
        <v>2314.752877153001</v>
      </c>
      <c r="Q41" s="50">
        <f t="shared" si="10"/>
        <v>82133.817606566823</v>
      </c>
      <c r="R41" s="34">
        <v>0</v>
      </c>
      <c r="S41" s="34">
        <f t="shared" si="11"/>
        <v>0</v>
      </c>
      <c r="T41" s="62">
        <f t="shared" si="4"/>
        <v>557732.84260656685</v>
      </c>
      <c r="U41" s="63">
        <f t="shared" si="5"/>
        <v>3.4386383463583479</v>
      </c>
      <c r="V41" s="39">
        <f t="shared" si="6"/>
        <v>957732.84260656685</v>
      </c>
      <c r="W41" s="37">
        <f t="shared" si="7"/>
        <v>2.3943321065164169</v>
      </c>
    </row>
    <row r="42" spans="1:23" ht="17.399999999999999" hidden="1">
      <c r="A42" s="57">
        <v>37</v>
      </c>
      <c r="B42" s="67">
        <f>VLOOKUP(A42,贴主险建议书!A:B,2,0)</f>
        <v>97</v>
      </c>
      <c r="C42" s="51">
        <f t="shared" si="8"/>
        <v>562195.84219934838</v>
      </c>
      <c r="D42" s="35">
        <f t="shared" si="0"/>
        <v>5340.8605008938093</v>
      </c>
      <c r="E42" s="50">
        <f t="shared" si="1"/>
        <v>167536.70270024217</v>
      </c>
      <c r="F42" s="51">
        <v>0</v>
      </c>
      <c r="G42" s="35">
        <v>0</v>
      </c>
      <c r="H42" s="50">
        <f t="shared" si="12"/>
        <v>1434.0250000000001</v>
      </c>
      <c r="I42" s="57">
        <f t="shared" si="2"/>
        <v>400000</v>
      </c>
      <c r="J42" s="42">
        <f>VLOOKUP(A42,贴主险建议书!A:E,5,0)</f>
        <v>600000</v>
      </c>
      <c r="K42" s="42">
        <f>VLOOKUP(A42,贴主险建议书!A:G,7,0)</f>
        <v>7224</v>
      </c>
      <c r="L42" s="42">
        <f>VLOOKUP(A42,贴主险建议书!A:H,8,0)</f>
        <v>186587</v>
      </c>
      <c r="M42" s="42">
        <f t="shared" si="3"/>
        <v>500241</v>
      </c>
      <c r="N42" s="56">
        <f>VLOOKUP(A42,贴主险建议书!A:O,15,0)</f>
        <v>900241</v>
      </c>
      <c r="O42" s="57">
        <f t="shared" si="13"/>
        <v>0</v>
      </c>
      <c r="P42" s="35">
        <f t="shared" si="9"/>
        <v>2381.880710590438</v>
      </c>
      <c r="Q42" s="50">
        <f t="shared" si="10"/>
        <v>84515.698317157265</v>
      </c>
      <c r="R42" s="34">
        <v>0</v>
      </c>
      <c r="S42" s="34">
        <f t="shared" si="11"/>
        <v>0</v>
      </c>
      <c r="T42" s="62">
        <f t="shared" si="4"/>
        <v>586190.72331715724</v>
      </c>
      <c r="U42" s="63">
        <f t="shared" si="5"/>
        <v>3.4988794328009054</v>
      </c>
      <c r="V42" s="39">
        <f t="shared" si="6"/>
        <v>986190.72331715724</v>
      </c>
      <c r="W42" s="37">
        <f t="shared" si="7"/>
        <v>2.4654768082928933</v>
      </c>
    </row>
    <row r="43" spans="1:23" ht="17.399999999999999" hidden="1">
      <c r="A43" s="57">
        <v>38</v>
      </c>
      <c r="B43" s="67">
        <f>VLOOKUP(A43,贴主险建议书!A:B,2,0)</f>
        <v>98</v>
      </c>
      <c r="C43" s="51">
        <f t="shared" si="8"/>
        <v>567536.70270024217</v>
      </c>
      <c r="D43" s="35">
        <f t="shared" si="0"/>
        <v>5391.5986756523007</v>
      </c>
      <c r="E43" s="50">
        <f t="shared" si="1"/>
        <v>172928.30137589446</v>
      </c>
      <c r="F43" s="51">
        <v>0</v>
      </c>
      <c r="G43" s="35">
        <v>0</v>
      </c>
      <c r="H43" s="50">
        <f t="shared" si="12"/>
        <v>1434.0250000000001</v>
      </c>
      <c r="I43" s="57">
        <f t="shared" si="2"/>
        <v>400000</v>
      </c>
      <c r="J43" s="42">
        <f>VLOOKUP(A43,贴主险建议书!A:E,5,0)</f>
        <v>610478</v>
      </c>
      <c r="K43" s="42">
        <f>VLOOKUP(A43,贴主险建议书!A:G,7,0)</f>
        <v>7350</v>
      </c>
      <c r="L43" s="42">
        <f>VLOOKUP(A43,贴主险建议书!A:H,8,0)</f>
        <v>193937</v>
      </c>
      <c r="M43" s="42">
        <f t="shared" si="3"/>
        <v>527074</v>
      </c>
      <c r="N43" s="56">
        <f>VLOOKUP(A43,贴主险建议书!A:O,15,0)</f>
        <v>927074</v>
      </c>
      <c r="O43" s="57">
        <f t="shared" si="13"/>
        <v>0</v>
      </c>
      <c r="P43" s="35">
        <f t="shared" si="9"/>
        <v>2450.9552511975608</v>
      </c>
      <c r="Q43" s="50">
        <f t="shared" si="10"/>
        <v>86966.653568354828</v>
      </c>
      <c r="R43" s="34">
        <v>0</v>
      </c>
      <c r="S43" s="34">
        <f t="shared" si="11"/>
        <v>0</v>
      </c>
      <c r="T43" s="62">
        <f t="shared" si="4"/>
        <v>615474.67856835481</v>
      </c>
      <c r="U43" s="63">
        <f t="shared" si="5"/>
        <v>3.559132158653989</v>
      </c>
      <c r="V43" s="39">
        <f t="shared" si="6"/>
        <v>1015474.6785683548</v>
      </c>
      <c r="W43" s="37">
        <f t="shared" si="7"/>
        <v>2.538686696420887</v>
      </c>
    </row>
    <row r="44" spans="1:23" ht="17.399999999999999" hidden="1">
      <c r="A44" s="57">
        <v>39</v>
      </c>
      <c r="B44" s="67">
        <f>VLOOKUP(A44,贴主险建议书!A:B,2,0)</f>
        <v>99</v>
      </c>
      <c r="C44" s="51">
        <f t="shared" si="8"/>
        <v>572928.30137589446</v>
      </c>
      <c r="D44" s="35">
        <f t="shared" si="0"/>
        <v>5442.8188630709974</v>
      </c>
      <c r="E44" s="50">
        <f t="shared" si="1"/>
        <v>178371.12023896549</v>
      </c>
      <c r="F44" s="51">
        <v>0</v>
      </c>
      <c r="G44" s="35">
        <v>0</v>
      </c>
      <c r="H44" s="50">
        <f t="shared" si="12"/>
        <v>1434.0250000000001</v>
      </c>
      <c r="I44" s="57">
        <f t="shared" si="2"/>
        <v>400000</v>
      </c>
      <c r="J44" s="42">
        <f>VLOOKUP(A44,贴主险建议书!A:E,5,0)</f>
        <v>621178</v>
      </c>
      <c r="K44" s="42">
        <f>VLOOKUP(A44,贴主险建议书!A:G,7,0)</f>
        <v>7479</v>
      </c>
      <c r="L44" s="42">
        <f>VLOOKUP(A44,贴主险建议书!A:H,8,0)</f>
        <v>201415</v>
      </c>
      <c r="M44" s="42">
        <f t="shared" si="3"/>
        <v>554750</v>
      </c>
      <c r="N44" s="56">
        <f>VLOOKUP(A44,贴主险建议书!A:O,15,0)</f>
        <v>954750</v>
      </c>
      <c r="O44" s="57">
        <f t="shared" si="13"/>
        <v>0</v>
      </c>
      <c r="P44" s="35">
        <f t="shared" si="9"/>
        <v>2522.0329534822899</v>
      </c>
      <c r="Q44" s="50">
        <f t="shared" si="10"/>
        <v>89488.686521837124</v>
      </c>
      <c r="R44" s="34">
        <v>0</v>
      </c>
      <c r="S44" s="34">
        <f t="shared" si="11"/>
        <v>0</v>
      </c>
      <c r="T44" s="62">
        <f t="shared" si="4"/>
        <v>645672.71152183716</v>
      </c>
      <c r="U44" s="63">
        <f t="shared" si="5"/>
        <v>3.6198276416990782</v>
      </c>
      <c r="V44" s="39">
        <f t="shared" si="6"/>
        <v>1045672.7115218372</v>
      </c>
      <c r="W44" s="37">
        <f t="shared" si="7"/>
        <v>2.6141817788045931</v>
      </c>
    </row>
    <row r="45" spans="1:23" ht="17.399999999999999">
      <c r="A45" s="57">
        <v>40</v>
      </c>
      <c r="B45" s="67">
        <f>VLOOKUP(A45,贴主险建议书!A:B,2,0)</f>
        <v>100</v>
      </c>
      <c r="C45" s="51">
        <f t="shared" si="8"/>
        <v>578371.12023896549</v>
      </c>
      <c r="D45" s="35">
        <f t="shared" si="0"/>
        <v>5494.5256422701723</v>
      </c>
      <c r="E45" s="50">
        <f t="shared" si="1"/>
        <v>183865.64588123572</v>
      </c>
      <c r="F45" s="51">
        <v>0</v>
      </c>
      <c r="G45" s="35">
        <v>0</v>
      </c>
      <c r="H45" s="50">
        <f t="shared" si="12"/>
        <v>1434.0250000000001</v>
      </c>
      <c r="I45" s="57">
        <f t="shared" si="2"/>
        <v>400000</v>
      </c>
      <c r="J45" s="42">
        <f>VLOOKUP(A45,贴主险建议书!A:E,5,0)</f>
        <v>632038</v>
      </c>
      <c r="K45" s="42">
        <f>VLOOKUP(A45,贴主险建议书!A:G,7,0)</f>
        <v>7609</v>
      </c>
      <c r="L45" s="42">
        <f>VLOOKUP(A45,贴主险建议书!A:H,8,0)</f>
        <v>209025</v>
      </c>
      <c r="M45" s="42">
        <f t="shared" si="3"/>
        <v>583225</v>
      </c>
      <c r="N45" s="56">
        <f>VLOOKUP(A45,贴主险建议书!A:O,15,0)</f>
        <v>983225</v>
      </c>
      <c r="O45" s="57">
        <f t="shared" si="13"/>
        <v>0</v>
      </c>
      <c r="P45" s="35">
        <f t="shared" si="9"/>
        <v>2595.1719091332766</v>
      </c>
      <c r="Q45" s="50">
        <f t="shared" si="10"/>
        <v>92083.858430970402</v>
      </c>
      <c r="R45" s="34">
        <v>0</v>
      </c>
      <c r="S45" s="34">
        <f t="shared" si="11"/>
        <v>0</v>
      </c>
      <c r="T45" s="62">
        <f t="shared" si="4"/>
        <v>676742.88343097048</v>
      </c>
      <c r="U45" s="63">
        <f t="shared" si="5"/>
        <v>3.6806380016639912</v>
      </c>
      <c r="V45" s="39">
        <f t="shared" si="6"/>
        <v>1076742.8834309704</v>
      </c>
      <c r="W45" s="37">
        <f t="shared" si="7"/>
        <v>2.6918572085774257</v>
      </c>
    </row>
    <row r="46" spans="1:23" ht="17.399999999999999" hidden="1">
      <c r="A46" s="57">
        <v>41</v>
      </c>
      <c r="B46" s="67">
        <f>VLOOKUP(A46,贴主险建议书!A:B,2,0)</f>
        <v>101</v>
      </c>
      <c r="C46" s="51">
        <f t="shared" si="8"/>
        <v>583865.64588123572</v>
      </c>
      <c r="D46" s="35">
        <f t="shared" si="0"/>
        <v>5546.7236358717391</v>
      </c>
      <c r="E46" s="50">
        <f t="shared" si="1"/>
        <v>189412.36951710749</v>
      </c>
      <c r="F46" s="51">
        <v>0</v>
      </c>
      <c r="G46" s="35">
        <v>0</v>
      </c>
      <c r="H46" s="50">
        <f t="shared" si="12"/>
        <v>1434.0250000000001</v>
      </c>
      <c r="I46" s="57">
        <f t="shared" si="2"/>
        <v>400000</v>
      </c>
      <c r="J46" s="42">
        <f>VLOOKUP(A46,贴主险建议书!A:E,5,0)</f>
        <v>643057</v>
      </c>
      <c r="K46" s="42">
        <f>VLOOKUP(A46,贴主险建议书!A:G,7,0)</f>
        <v>7742</v>
      </c>
      <c r="L46" s="42">
        <f>VLOOKUP(A46,贴主险建议书!A:H,8,0)</f>
        <v>216767</v>
      </c>
      <c r="M46" s="42">
        <f t="shared" si="3"/>
        <v>612521</v>
      </c>
      <c r="N46" s="56">
        <f>VLOOKUP(A46,贴主险建议书!A:O,15,0)</f>
        <v>1012521</v>
      </c>
      <c r="O46" s="57">
        <f t="shared" si="13"/>
        <v>0</v>
      </c>
      <c r="P46" s="35">
        <f t="shared" si="9"/>
        <v>2670.4318944981419</v>
      </c>
      <c r="Q46" s="50">
        <f t="shared" si="10"/>
        <v>94754.290325468537</v>
      </c>
      <c r="R46" s="34">
        <v>0</v>
      </c>
      <c r="S46" s="34">
        <f t="shared" si="11"/>
        <v>0</v>
      </c>
      <c r="T46" s="62">
        <f t="shared" si="4"/>
        <v>708709.31532546855</v>
      </c>
      <c r="U46" s="63">
        <f t="shared" si="5"/>
        <v>3.7416210838408777</v>
      </c>
      <c r="V46" s="39">
        <f t="shared" si="6"/>
        <v>1108709.3153254685</v>
      </c>
      <c r="W46" s="37">
        <f t="shared" si="7"/>
        <v>2.7717732883136712</v>
      </c>
    </row>
    <row r="47" spans="1:23" ht="17.399999999999999" hidden="1">
      <c r="A47" s="57">
        <v>42</v>
      </c>
      <c r="B47" s="67">
        <f>VLOOKUP(A47,贴主险建议书!A:B,2,0)</f>
        <v>102</v>
      </c>
      <c r="C47" s="51">
        <f t="shared" si="8"/>
        <v>589412.36951710749</v>
      </c>
      <c r="D47" s="35">
        <f t="shared" si="0"/>
        <v>5599.4175104125206</v>
      </c>
      <c r="E47" s="50">
        <f t="shared" si="1"/>
        <v>195011.78702752001</v>
      </c>
      <c r="F47" s="51">
        <v>0</v>
      </c>
      <c r="G47" s="35">
        <v>0</v>
      </c>
      <c r="H47" s="50">
        <f t="shared" si="12"/>
        <v>1434.0250000000001</v>
      </c>
      <c r="I47" s="57">
        <f t="shared" si="2"/>
        <v>400000</v>
      </c>
      <c r="J47" s="42">
        <f>VLOOKUP(A47,贴主险建议书!A:E,5,0)</f>
        <v>654299</v>
      </c>
      <c r="K47" s="42">
        <f>VLOOKUP(A47,贴主险建议书!A:G,7,0)</f>
        <v>7878</v>
      </c>
      <c r="L47" s="42">
        <f>VLOOKUP(A47,贴主险建议书!A:H,8,0)</f>
        <v>224645</v>
      </c>
      <c r="M47" s="42">
        <f t="shared" si="3"/>
        <v>642723</v>
      </c>
      <c r="N47" s="56">
        <f>VLOOKUP(A47,贴主险建议书!A:O,15,0)</f>
        <v>1042723</v>
      </c>
      <c r="O47" s="57">
        <f t="shared" si="13"/>
        <v>0</v>
      </c>
      <c r="P47" s="35">
        <f t="shared" si="9"/>
        <v>2747.8744194385877</v>
      </c>
      <c r="Q47" s="50">
        <f t="shared" si="10"/>
        <v>97502.164744907132</v>
      </c>
      <c r="R47" s="34">
        <v>0</v>
      </c>
      <c r="S47" s="34">
        <f t="shared" si="11"/>
        <v>0</v>
      </c>
      <c r="T47" s="62">
        <f t="shared" si="4"/>
        <v>741659.1897449072</v>
      </c>
      <c r="U47" s="63">
        <f t="shared" si="5"/>
        <v>3.8031505738688733</v>
      </c>
      <c r="V47" s="39">
        <f t="shared" si="6"/>
        <v>1141659.189744907</v>
      </c>
      <c r="W47" s="37">
        <f t="shared" si="7"/>
        <v>2.8541479743622675</v>
      </c>
    </row>
    <row r="48" spans="1:23" ht="17.399999999999999" hidden="1">
      <c r="A48" s="57">
        <v>43</v>
      </c>
      <c r="B48" s="67">
        <f>VLOOKUP(A48,贴主险建议书!A:B,2,0)</f>
        <v>103</v>
      </c>
      <c r="C48" s="51">
        <f t="shared" si="8"/>
        <v>595011.78702752001</v>
      </c>
      <c r="D48" s="35">
        <f t="shared" si="0"/>
        <v>5652.61197676144</v>
      </c>
      <c r="E48" s="50">
        <f t="shared" si="1"/>
        <v>200664.3990042815</v>
      </c>
      <c r="F48" s="51">
        <v>0</v>
      </c>
      <c r="G48" s="35">
        <v>0</v>
      </c>
      <c r="H48" s="50">
        <f t="shared" si="12"/>
        <v>1434.0250000000001</v>
      </c>
      <c r="I48" s="57">
        <f t="shared" si="2"/>
        <v>400000</v>
      </c>
      <c r="J48" s="42">
        <f>VLOOKUP(A48,贴主险建议书!A:E,5,0)</f>
        <v>665732</v>
      </c>
      <c r="K48" s="42">
        <f>VLOOKUP(A48,贴主险建议书!A:G,7,0)</f>
        <v>8015</v>
      </c>
      <c r="L48" s="42">
        <f>VLOOKUP(A48,贴主险建议书!A:H,8,0)</f>
        <v>232660</v>
      </c>
      <c r="M48" s="42">
        <f t="shared" si="3"/>
        <v>673823</v>
      </c>
      <c r="N48" s="56">
        <f>VLOOKUP(A48,贴主险建议书!A:O,15,0)</f>
        <v>1073823</v>
      </c>
      <c r="O48" s="57">
        <f t="shared" si="13"/>
        <v>0</v>
      </c>
      <c r="P48" s="35">
        <f t="shared" si="9"/>
        <v>2827.5627776023071</v>
      </c>
      <c r="Q48" s="50">
        <f t="shared" si="10"/>
        <v>100329.72752250943</v>
      </c>
      <c r="R48" s="34">
        <v>0</v>
      </c>
      <c r="S48" s="34">
        <f t="shared" si="11"/>
        <v>0</v>
      </c>
      <c r="T48" s="62">
        <f t="shared" si="4"/>
        <v>775586.75252250943</v>
      </c>
      <c r="U48" s="63">
        <f t="shared" si="5"/>
        <v>3.8650939397873016</v>
      </c>
      <c r="V48" s="39">
        <f t="shared" si="6"/>
        <v>1175586.7525225093</v>
      </c>
      <c r="W48" s="37">
        <f t="shared" si="7"/>
        <v>2.9389668813062735</v>
      </c>
    </row>
    <row r="49" spans="1:23" ht="17.399999999999999" hidden="1">
      <c r="A49" s="57">
        <v>44</v>
      </c>
      <c r="B49" s="67">
        <f>VLOOKUP(A49,贴主险建议书!A:B,2,0)</f>
        <v>104</v>
      </c>
      <c r="C49" s="51">
        <f t="shared" si="8"/>
        <v>600664.3990042815</v>
      </c>
      <c r="D49" s="35">
        <f t="shared" si="0"/>
        <v>5706.3117905406743</v>
      </c>
      <c r="E49" s="50">
        <f t="shared" si="1"/>
        <v>206370.7107948222</v>
      </c>
      <c r="F49" s="51">
        <v>0</v>
      </c>
      <c r="G49" s="35">
        <v>0</v>
      </c>
      <c r="H49" s="50">
        <f t="shared" si="12"/>
        <v>1434.0250000000001</v>
      </c>
      <c r="I49" s="57">
        <f t="shared" si="2"/>
        <v>400000</v>
      </c>
      <c r="J49" s="42">
        <f>VLOOKUP(A49,贴主险建议书!A:E,5,0)</f>
        <v>677389</v>
      </c>
      <c r="K49" s="42">
        <f>VLOOKUP(A49,贴主险建议书!A:G,7,0)</f>
        <v>8155</v>
      </c>
      <c r="L49" s="42">
        <f>VLOOKUP(A49,贴主险建议书!A:H,8,0)</f>
        <v>240815</v>
      </c>
      <c r="M49" s="42">
        <f t="shared" si="3"/>
        <v>705876</v>
      </c>
      <c r="N49" s="56">
        <f>VLOOKUP(A49,贴主险建议书!A:O,15,0)</f>
        <v>1105876</v>
      </c>
      <c r="O49" s="57">
        <f t="shared" si="13"/>
        <v>0</v>
      </c>
      <c r="P49" s="35">
        <f t="shared" si="9"/>
        <v>2909.5620981527736</v>
      </c>
      <c r="Q49" s="50">
        <f t="shared" si="10"/>
        <v>103239.28962066221</v>
      </c>
      <c r="R49" s="34">
        <v>0</v>
      </c>
      <c r="S49" s="34">
        <f t="shared" si="11"/>
        <v>0</v>
      </c>
      <c r="T49" s="62">
        <f t="shared" si="4"/>
        <v>810549.31462066225</v>
      </c>
      <c r="U49" s="63">
        <f t="shared" si="5"/>
        <v>3.9276373643279556</v>
      </c>
      <c r="V49" s="39">
        <f t="shared" si="6"/>
        <v>1210549.314620662</v>
      </c>
      <c r="W49" s="37">
        <f t="shared" si="7"/>
        <v>3.0263732865516548</v>
      </c>
    </row>
    <row r="50" spans="1:23" ht="17.399999999999999" hidden="1">
      <c r="A50" s="57">
        <v>45</v>
      </c>
      <c r="B50" s="67">
        <f>VLOOKUP(A50,贴主险建议书!A:B,2,0)</f>
        <v>105</v>
      </c>
      <c r="C50" s="51">
        <f t="shared" si="8"/>
        <v>606370.7107948222</v>
      </c>
      <c r="D50" s="35">
        <f t="shared" si="0"/>
        <v>5760.5217525508106</v>
      </c>
      <c r="E50" s="50">
        <f t="shared" si="1"/>
        <v>212131.23254737305</v>
      </c>
      <c r="F50" s="51">
        <v>0</v>
      </c>
      <c r="G50" s="35">
        <v>0</v>
      </c>
      <c r="H50" s="50">
        <f t="shared" si="12"/>
        <v>1434.0250000000001</v>
      </c>
      <c r="I50" s="57">
        <f t="shared" si="2"/>
        <v>400000</v>
      </c>
      <c r="J50" s="42">
        <f>VLOOKUP(A50,贴主险建议书!A:E,5,0)</f>
        <v>689204</v>
      </c>
      <c r="K50" s="42">
        <f>VLOOKUP(A50,贴主险建议书!A:G,7,0)</f>
        <v>8298</v>
      </c>
      <c r="L50" s="42">
        <f>VLOOKUP(A50,贴主险建议书!A:H,8,0)</f>
        <v>249113</v>
      </c>
      <c r="M50" s="42">
        <f t="shared" si="3"/>
        <v>738842</v>
      </c>
      <c r="N50" s="56">
        <f>VLOOKUP(A50,贴主险建议书!A:O,15,0)</f>
        <v>1138842</v>
      </c>
      <c r="O50" s="57">
        <f t="shared" si="13"/>
        <v>0</v>
      </c>
      <c r="P50" s="35">
        <f t="shared" si="9"/>
        <v>2993.9393989992041</v>
      </c>
      <c r="Q50" s="50">
        <f t="shared" si="10"/>
        <v>106233.22901966142</v>
      </c>
      <c r="R50" s="34">
        <v>0</v>
      </c>
      <c r="S50" s="34">
        <f t="shared" si="11"/>
        <v>0</v>
      </c>
      <c r="T50" s="62">
        <f t="shared" si="4"/>
        <v>846509.25401966146</v>
      </c>
      <c r="U50" s="63">
        <f t="shared" si="5"/>
        <v>3.9904979754955199</v>
      </c>
      <c r="V50" s="39">
        <f t="shared" si="6"/>
        <v>1246509.2540196613</v>
      </c>
      <c r="W50" s="37">
        <f t="shared" si="7"/>
        <v>3.1162731350491533</v>
      </c>
    </row>
    <row r="51" spans="1:23" ht="17.399999999999999" hidden="1">
      <c r="A51" s="57">
        <v>46</v>
      </c>
      <c r="B51" s="67" t="e">
        <f>VLOOKUP(A51,贴主险建议书!A:B,2,0)</f>
        <v>#N/A</v>
      </c>
      <c r="C51" s="51">
        <f t="shared" si="8"/>
        <v>612131.23254737305</v>
      </c>
      <c r="D51" s="35">
        <f t="shared" si="0"/>
        <v>5815.2467092000434</v>
      </c>
      <c r="E51" s="50">
        <f t="shared" si="1"/>
        <v>217946.47925657313</v>
      </c>
      <c r="F51" s="51">
        <v>0</v>
      </c>
      <c r="G51" s="35">
        <v>0</v>
      </c>
      <c r="H51" s="50">
        <f t="shared" si="12"/>
        <v>1434.0250000000001</v>
      </c>
      <c r="I51" s="57">
        <f t="shared" si="2"/>
        <v>400000</v>
      </c>
      <c r="J51" s="42" t="e">
        <f>VLOOKUP(A51,贴主险建议书!A:E,5,0)</f>
        <v>#N/A</v>
      </c>
      <c r="K51" s="42" t="e">
        <f>VLOOKUP(A51,贴主险建议书!A:G,7,0)</f>
        <v>#N/A</v>
      </c>
      <c r="L51" s="42" t="e">
        <f>VLOOKUP(A51,贴主险建议书!A:H,8,0)</f>
        <v>#N/A</v>
      </c>
      <c r="M51" s="42" t="e">
        <f t="shared" si="3"/>
        <v>#N/A</v>
      </c>
      <c r="N51" s="56" t="e">
        <f>VLOOKUP(A51,贴主险建议书!A:O,15,0)</f>
        <v>#N/A</v>
      </c>
      <c r="O51" s="57">
        <f t="shared" si="13"/>
        <v>0</v>
      </c>
      <c r="P51" s="35">
        <f t="shared" si="9"/>
        <v>3080.7636415701813</v>
      </c>
      <c r="Q51" s="50">
        <f t="shared" si="10"/>
        <v>109313.9926612316</v>
      </c>
      <c r="R51" s="34">
        <v>0</v>
      </c>
      <c r="S51" s="34">
        <f t="shared" si="11"/>
        <v>0</v>
      </c>
      <c r="T51" s="62" t="e">
        <f t="shared" si="4"/>
        <v>#N/A</v>
      </c>
      <c r="U51" s="63" t="e">
        <f t="shared" si="5"/>
        <v>#N/A</v>
      </c>
      <c r="V51" s="39" t="e">
        <f t="shared" si="6"/>
        <v>#N/A</v>
      </c>
      <c r="W51" s="37" t="e">
        <f t="shared" si="7"/>
        <v>#N/A</v>
      </c>
    </row>
    <row r="52" spans="1:23" ht="17.399999999999999" hidden="1">
      <c r="A52" s="57">
        <v>47</v>
      </c>
      <c r="B52" s="67" t="e">
        <f>VLOOKUP(A52,贴主险建议书!A:B,2,0)</f>
        <v>#N/A</v>
      </c>
      <c r="C52" s="51">
        <f t="shared" si="8"/>
        <v>617946.47925657313</v>
      </c>
      <c r="D52" s="35">
        <f t="shared" si="0"/>
        <v>5870.4915529374448</v>
      </c>
      <c r="E52" s="50">
        <f t="shared" si="1"/>
        <v>223816.97080951056</v>
      </c>
      <c r="F52" s="51">
        <v>0</v>
      </c>
      <c r="G52" s="35">
        <v>0</v>
      </c>
      <c r="H52" s="50">
        <f t="shared" si="12"/>
        <v>1434.0250000000001</v>
      </c>
      <c r="I52" s="57">
        <f t="shared" si="2"/>
        <v>400000</v>
      </c>
      <c r="J52" s="42" t="e">
        <f>VLOOKUP(A52,贴主险建议书!A:E,5,0)</f>
        <v>#N/A</v>
      </c>
      <c r="K52" s="42" t="e">
        <f>VLOOKUP(A52,贴主险建议书!A:G,7,0)</f>
        <v>#N/A</v>
      </c>
      <c r="L52" s="42" t="e">
        <f>VLOOKUP(A52,贴主险建议书!A:H,8,0)</f>
        <v>#N/A</v>
      </c>
      <c r="M52" s="42" t="e">
        <f t="shared" si="3"/>
        <v>#N/A</v>
      </c>
      <c r="N52" s="56" t="e">
        <f>VLOOKUP(A52,贴主险建议书!A:O,15,0)</f>
        <v>#N/A</v>
      </c>
      <c r="O52" s="57">
        <f t="shared" si="13"/>
        <v>0</v>
      </c>
      <c r="P52" s="35">
        <f t="shared" si="9"/>
        <v>3170.1057871757166</v>
      </c>
      <c r="Q52" s="50">
        <f t="shared" si="10"/>
        <v>112484.09844840733</v>
      </c>
      <c r="R52" s="34">
        <v>0</v>
      </c>
      <c r="S52" s="34">
        <f t="shared" si="11"/>
        <v>0</v>
      </c>
      <c r="T52" s="62" t="e">
        <f t="shared" si="4"/>
        <v>#N/A</v>
      </c>
      <c r="U52" s="63" t="e">
        <f t="shared" si="5"/>
        <v>#N/A</v>
      </c>
      <c r="V52" s="39" t="e">
        <f t="shared" si="6"/>
        <v>#N/A</v>
      </c>
      <c r="W52" s="37" t="e">
        <f t="shared" si="7"/>
        <v>#N/A</v>
      </c>
    </row>
    <row r="53" spans="1:23" ht="17.399999999999999" hidden="1">
      <c r="A53" s="57">
        <v>48</v>
      </c>
      <c r="B53" s="67" t="e">
        <f>VLOOKUP(A53,贴主险建议书!A:B,2,0)</f>
        <v>#N/A</v>
      </c>
      <c r="C53" s="51">
        <f t="shared" si="8"/>
        <v>623816.97080951056</v>
      </c>
      <c r="D53" s="35">
        <f t="shared" si="0"/>
        <v>5926.2612226903502</v>
      </c>
      <c r="E53" s="50">
        <f t="shared" si="1"/>
        <v>229743.2320322009</v>
      </c>
      <c r="F53" s="51">
        <v>0</v>
      </c>
      <c r="G53" s="35">
        <v>0</v>
      </c>
      <c r="H53" s="50">
        <f t="shared" si="12"/>
        <v>1434.0250000000001</v>
      </c>
      <c r="I53" s="57">
        <f t="shared" si="2"/>
        <v>400000</v>
      </c>
      <c r="J53" s="42" t="e">
        <f>VLOOKUP(A53,贴主险建议书!A:E,5,0)</f>
        <v>#N/A</v>
      </c>
      <c r="K53" s="42" t="e">
        <f>VLOOKUP(A53,贴主险建议书!A:G,7,0)</f>
        <v>#N/A</v>
      </c>
      <c r="L53" s="42" t="e">
        <f>VLOOKUP(A53,贴主险建议书!A:H,8,0)</f>
        <v>#N/A</v>
      </c>
      <c r="M53" s="42" t="e">
        <f t="shared" si="3"/>
        <v>#N/A</v>
      </c>
      <c r="N53" s="56" t="e">
        <f>VLOOKUP(A53,贴主险建议书!A:O,15,0)</f>
        <v>#N/A</v>
      </c>
      <c r="O53" s="57">
        <f t="shared" si="13"/>
        <v>0</v>
      </c>
      <c r="P53" s="35">
        <f t="shared" si="9"/>
        <v>3262.0388550038128</v>
      </c>
      <c r="Q53" s="50">
        <f t="shared" si="10"/>
        <v>115746.13730341115</v>
      </c>
      <c r="R53" s="34">
        <v>0</v>
      </c>
      <c r="S53" s="34">
        <f t="shared" si="11"/>
        <v>0</v>
      </c>
      <c r="T53" s="62" t="e">
        <f t="shared" si="4"/>
        <v>#N/A</v>
      </c>
      <c r="U53" s="63" t="e">
        <f t="shared" si="5"/>
        <v>#N/A</v>
      </c>
      <c r="V53" s="39" t="e">
        <f t="shared" si="6"/>
        <v>#N/A</v>
      </c>
      <c r="W53" s="37" t="e">
        <f t="shared" si="7"/>
        <v>#N/A</v>
      </c>
    </row>
    <row r="54" spans="1:23" ht="17.399999999999999" hidden="1">
      <c r="A54" s="57">
        <v>49</v>
      </c>
      <c r="B54" s="67" t="e">
        <f>VLOOKUP(A54,贴主险建议书!A:B,2,0)</f>
        <v>#N/A</v>
      </c>
      <c r="C54" s="51">
        <f t="shared" si="8"/>
        <v>629743.2320322009</v>
      </c>
      <c r="D54" s="35">
        <f t="shared" si="0"/>
        <v>5982.5607043059081</v>
      </c>
      <c r="E54" s="50">
        <f t="shared" si="1"/>
        <v>235725.79273650679</v>
      </c>
      <c r="F54" s="51">
        <v>0</v>
      </c>
      <c r="G54" s="35">
        <v>0</v>
      </c>
      <c r="H54" s="50">
        <f t="shared" si="12"/>
        <v>1434.0250000000001</v>
      </c>
      <c r="I54" s="57">
        <f t="shared" si="2"/>
        <v>400000</v>
      </c>
      <c r="J54" s="42" t="e">
        <f>VLOOKUP(A54,贴主险建议书!A:E,5,0)</f>
        <v>#N/A</v>
      </c>
      <c r="K54" s="42" t="e">
        <f>VLOOKUP(A54,贴主险建议书!A:G,7,0)</f>
        <v>#N/A</v>
      </c>
      <c r="L54" s="42" t="e">
        <f>VLOOKUP(A54,贴主险建议书!A:H,8,0)</f>
        <v>#N/A</v>
      </c>
      <c r="M54" s="42" t="e">
        <f t="shared" si="3"/>
        <v>#N/A</v>
      </c>
      <c r="N54" s="56" t="e">
        <f>VLOOKUP(A54,贴主险建议书!A:O,15,0)</f>
        <v>#N/A</v>
      </c>
      <c r="O54" s="57">
        <f t="shared" si="13"/>
        <v>0</v>
      </c>
      <c r="P54" s="35">
        <f t="shared" si="9"/>
        <v>3356.6379817989232</v>
      </c>
      <c r="Q54" s="50">
        <f t="shared" si="10"/>
        <v>119102.77528521007</v>
      </c>
      <c r="R54" s="34">
        <v>0</v>
      </c>
      <c r="S54" s="34">
        <f t="shared" si="11"/>
        <v>0</v>
      </c>
      <c r="T54" s="62" t="e">
        <f t="shared" si="4"/>
        <v>#N/A</v>
      </c>
      <c r="U54" s="63" t="e">
        <f t="shared" si="5"/>
        <v>#N/A</v>
      </c>
      <c r="V54" s="39" t="e">
        <f t="shared" si="6"/>
        <v>#N/A</v>
      </c>
      <c r="W54" s="37" t="e">
        <f t="shared" si="7"/>
        <v>#N/A</v>
      </c>
    </row>
    <row r="55" spans="1:23" ht="18" thickBot="1">
      <c r="A55" s="58">
        <v>50</v>
      </c>
      <c r="B55" s="68" t="e">
        <f>VLOOKUP(A55,贴主险建议书!A:B,2,0)</f>
        <v>#N/A</v>
      </c>
      <c r="C55" s="52">
        <f t="shared" si="8"/>
        <v>635725.79273650679</v>
      </c>
      <c r="D55" s="53">
        <f t="shared" si="0"/>
        <v>6039.3950309968141</v>
      </c>
      <c r="E55" s="54">
        <f t="shared" si="1"/>
        <v>241765.18776750355</v>
      </c>
      <c r="F55" s="52">
        <v>0</v>
      </c>
      <c r="G55" s="53">
        <v>0</v>
      </c>
      <c r="H55" s="54">
        <f t="shared" si="12"/>
        <v>1434.0250000000001</v>
      </c>
      <c r="I55" s="58">
        <f t="shared" si="2"/>
        <v>400000</v>
      </c>
      <c r="J55" s="59" t="e">
        <f>VLOOKUP(A55,贴主险建议书!A:E,5,0)</f>
        <v>#N/A</v>
      </c>
      <c r="K55" s="59" t="e">
        <f>VLOOKUP(A55,贴主险建议书!A:G,7,0)</f>
        <v>#N/A</v>
      </c>
      <c r="L55" s="59" t="e">
        <f>VLOOKUP(A55,贴主险建议书!A:H,8,0)</f>
        <v>#N/A</v>
      </c>
      <c r="M55" s="59" t="e">
        <f t="shared" si="3"/>
        <v>#N/A</v>
      </c>
      <c r="N55" s="60" t="e">
        <f>VLOOKUP(A55,贴主险建议书!A:O,15,0)</f>
        <v>#N/A</v>
      </c>
      <c r="O55" s="58">
        <f t="shared" si="13"/>
        <v>0</v>
      </c>
      <c r="P55" s="53">
        <f t="shared" si="9"/>
        <v>3453.980483271092</v>
      </c>
      <c r="Q55" s="54">
        <f t="shared" si="10"/>
        <v>122556.75576848116</v>
      </c>
      <c r="R55" s="77">
        <v>0</v>
      </c>
      <c r="S55" s="77">
        <f t="shared" si="11"/>
        <v>0</v>
      </c>
      <c r="T55" s="64" t="e">
        <f t="shared" si="4"/>
        <v>#N/A</v>
      </c>
      <c r="U55" s="65" t="e">
        <f>T55/E55</f>
        <v>#N/A</v>
      </c>
      <c r="V55" s="39" t="e">
        <f t="shared" si="6"/>
        <v>#N/A</v>
      </c>
      <c r="W55" s="37" t="e">
        <f t="shared" si="7"/>
        <v>#N/A</v>
      </c>
    </row>
    <row r="56" spans="1:23" ht="17.399999999999999" hidden="1">
      <c r="A56" s="57">
        <v>51</v>
      </c>
      <c r="B56" s="67" t="e">
        <f>VLOOKUP(A56,贴主险建议书!A:B,2,0)</f>
        <v>#N/A</v>
      </c>
      <c r="C56" s="51">
        <f t="shared" si="8"/>
        <v>641765.18776750355</v>
      </c>
      <c r="D56" s="35">
        <f t="shared" si="0"/>
        <v>6096.7692837912837</v>
      </c>
      <c r="E56" s="50">
        <f t="shared" si="1"/>
        <v>247861.95705129486</v>
      </c>
      <c r="F56" s="51">
        <v>0</v>
      </c>
      <c r="G56" s="35">
        <v>0</v>
      </c>
      <c r="H56" s="50">
        <f t="shared" si="12"/>
        <v>1434.0250000000001</v>
      </c>
      <c r="I56" s="57">
        <f t="shared" si="2"/>
        <v>400000</v>
      </c>
      <c r="J56" s="42" t="e">
        <f>VLOOKUP(A56,贴主险建议书!A:E,5,0)</f>
        <v>#N/A</v>
      </c>
      <c r="K56" s="42" t="e">
        <f>VLOOKUP(A56,贴主险建议书!A:G,7,0)</f>
        <v>#N/A</v>
      </c>
      <c r="L56" s="42" t="e">
        <f>VLOOKUP(A56,贴主险建议书!A:H,8,0)</f>
        <v>#N/A</v>
      </c>
      <c r="M56" s="42" t="e">
        <f t="shared" si="3"/>
        <v>#N/A</v>
      </c>
      <c r="N56" s="56" t="e">
        <f>VLOOKUP(A56,贴主险建议书!A:O,15,0)</f>
        <v>#N/A</v>
      </c>
      <c r="O56" s="57">
        <f t="shared" si="13"/>
        <v>0</v>
      </c>
      <c r="P56" s="35">
        <f t="shared" si="9"/>
        <v>3554.1459172859541</v>
      </c>
      <c r="Q56" s="50">
        <f t="shared" si="10"/>
        <v>126110.90168576711</v>
      </c>
      <c r="R56" s="34">
        <v>0</v>
      </c>
      <c r="S56" s="34">
        <f t="shared" si="11"/>
        <v>0</v>
      </c>
      <c r="T56" s="62" t="e">
        <f t="shared" si="4"/>
        <v>#N/A</v>
      </c>
      <c r="U56" s="63" t="e">
        <f t="shared" si="5"/>
        <v>#N/A</v>
      </c>
      <c r="V56" s="39" t="e">
        <f t="shared" si="6"/>
        <v>#N/A</v>
      </c>
      <c r="W56" s="37" t="e">
        <f t="shared" si="7"/>
        <v>#N/A</v>
      </c>
    </row>
    <row r="57" spans="1:23" ht="17.399999999999999" hidden="1">
      <c r="A57" s="57">
        <v>52</v>
      </c>
      <c r="B57" s="67" t="e">
        <f>VLOOKUP(A57,贴主险建议书!A:B,2,0)</f>
        <v>#N/A</v>
      </c>
      <c r="C57" s="51">
        <f t="shared" si="8"/>
        <v>647861.95705129486</v>
      </c>
      <c r="D57" s="35">
        <f t="shared" si="0"/>
        <v>6154.6885919873012</v>
      </c>
      <c r="E57" s="50">
        <f t="shared" si="1"/>
        <v>254016.6456432821</v>
      </c>
      <c r="F57" s="51">
        <v>0</v>
      </c>
      <c r="G57" s="35">
        <v>0</v>
      </c>
      <c r="H57" s="50">
        <f t="shared" si="12"/>
        <v>1434.0250000000001</v>
      </c>
      <c r="I57" s="57">
        <f t="shared" si="2"/>
        <v>400000</v>
      </c>
      <c r="J57" s="42" t="e">
        <f>VLOOKUP(A57,贴主险建议书!A:E,5,0)</f>
        <v>#N/A</v>
      </c>
      <c r="K57" s="42" t="e">
        <f>VLOOKUP(A57,贴主险建议书!A:G,7,0)</f>
        <v>#N/A</v>
      </c>
      <c r="L57" s="42" t="e">
        <f>VLOOKUP(A57,贴主险建议书!A:H,8,0)</f>
        <v>#N/A</v>
      </c>
      <c r="M57" s="42" t="e">
        <f t="shared" si="3"/>
        <v>#N/A</v>
      </c>
      <c r="N57" s="56" t="e">
        <f>VLOOKUP(A57,贴主险建议书!A:O,15,0)</f>
        <v>#N/A</v>
      </c>
      <c r="O57" s="57">
        <f t="shared" si="13"/>
        <v>0</v>
      </c>
      <c r="P57" s="35">
        <f t="shared" si="9"/>
        <v>3657.2161488872462</v>
      </c>
      <c r="Q57" s="50">
        <f t="shared" si="10"/>
        <v>129768.11783465436</v>
      </c>
      <c r="R57" s="34">
        <v>0</v>
      </c>
      <c r="S57" s="34">
        <f t="shared" si="11"/>
        <v>0</v>
      </c>
      <c r="T57" s="62" t="e">
        <f t="shared" si="4"/>
        <v>#N/A</v>
      </c>
      <c r="U57" s="63" t="e">
        <f t="shared" si="5"/>
        <v>#N/A</v>
      </c>
      <c r="V57" s="39" t="e">
        <f t="shared" si="6"/>
        <v>#N/A</v>
      </c>
      <c r="W57" s="37" t="e">
        <f t="shared" si="7"/>
        <v>#N/A</v>
      </c>
    </row>
    <row r="58" spans="1:23" ht="17.399999999999999" hidden="1">
      <c r="A58" s="57">
        <v>53</v>
      </c>
      <c r="B58" s="67" t="e">
        <f>VLOOKUP(A58,贴主险建议书!A:B,2,0)</f>
        <v>#N/A</v>
      </c>
      <c r="C58" s="51">
        <f t="shared" si="8"/>
        <v>654016.6456432821</v>
      </c>
      <c r="D58" s="35">
        <f t="shared" si="0"/>
        <v>6213.1581336111794</v>
      </c>
      <c r="E58" s="50">
        <f t="shared" si="1"/>
        <v>260229.8037768933</v>
      </c>
      <c r="F58" s="51">
        <v>0</v>
      </c>
      <c r="G58" s="35">
        <v>0</v>
      </c>
      <c r="H58" s="50">
        <f t="shared" si="12"/>
        <v>1434.0250000000001</v>
      </c>
      <c r="I58" s="57">
        <f t="shared" si="2"/>
        <v>400000</v>
      </c>
      <c r="J58" s="42" t="e">
        <f>VLOOKUP(A58,贴主险建议书!A:E,5,0)</f>
        <v>#N/A</v>
      </c>
      <c r="K58" s="42" t="e">
        <f>VLOOKUP(A58,贴主险建议书!A:G,7,0)</f>
        <v>#N/A</v>
      </c>
      <c r="L58" s="42" t="e">
        <f>VLOOKUP(A58,贴主险建议书!A:H,8,0)</f>
        <v>#N/A</v>
      </c>
      <c r="M58" s="42" t="e">
        <f t="shared" si="3"/>
        <v>#N/A</v>
      </c>
      <c r="N58" s="56" t="e">
        <f>VLOOKUP(A58,贴主险建议书!A:O,15,0)</f>
        <v>#N/A</v>
      </c>
      <c r="O58" s="57">
        <f t="shared" si="13"/>
        <v>0</v>
      </c>
      <c r="P58" s="35">
        <f t="shared" si="9"/>
        <v>3763.2754172049767</v>
      </c>
      <c r="Q58" s="50">
        <f t="shared" si="10"/>
        <v>133531.39325185935</v>
      </c>
      <c r="R58" s="34">
        <v>0</v>
      </c>
      <c r="S58" s="34">
        <f t="shared" si="11"/>
        <v>0</v>
      </c>
      <c r="T58" s="62" t="e">
        <f t="shared" si="4"/>
        <v>#N/A</v>
      </c>
      <c r="U58" s="63" t="e">
        <f t="shared" si="5"/>
        <v>#N/A</v>
      </c>
      <c r="V58" s="39" t="e">
        <f t="shared" si="6"/>
        <v>#N/A</v>
      </c>
      <c r="W58" s="37" t="e">
        <f t="shared" si="7"/>
        <v>#N/A</v>
      </c>
    </row>
    <row r="59" spans="1:23" ht="17.399999999999999" hidden="1">
      <c r="A59" s="57">
        <v>54</v>
      </c>
      <c r="B59" s="67" t="e">
        <f>VLOOKUP(A59,贴主险建议书!A:B,2,0)</f>
        <v>#N/A</v>
      </c>
      <c r="C59" s="51">
        <f t="shared" si="8"/>
        <v>660229.8037768933</v>
      </c>
      <c r="D59" s="35">
        <f t="shared" si="0"/>
        <v>6272.1831358804866</v>
      </c>
      <c r="E59" s="50">
        <f t="shared" si="1"/>
        <v>266501.98691277381</v>
      </c>
      <c r="F59" s="51">
        <v>0</v>
      </c>
      <c r="G59" s="35">
        <v>0</v>
      </c>
      <c r="H59" s="50">
        <f t="shared" si="12"/>
        <v>1434.0250000000001</v>
      </c>
      <c r="I59" s="57">
        <f t="shared" si="2"/>
        <v>400000</v>
      </c>
      <c r="J59" s="42" t="e">
        <f>VLOOKUP(A59,贴主险建议书!A:E,5,0)</f>
        <v>#N/A</v>
      </c>
      <c r="K59" s="42" t="e">
        <f>VLOOKUP(A59,贴主险建议书!A:G,7,0)</f>
        <v>#N/A</v>
      </c>
      <c r="L59" s="42" t="e">
        <f>VLOOKUP(A59,贴主险建议书!A:H,8,0)</f>
        <v>#N/A</v>
      </c>
      <c r="M59" s="42" t="e">
        <f t="shared" si="3"/>
        <v>#N/A</v>
      </c>
      <c r="N59" s="56" t="e">
        <f>VLOOKUP(A59,贴主险建议书!A:O,15,0)</f>
        <v>#N/A</v>
      </c>
      <c r="O59" s="57">
        <f t="shared" si="13"/>
        <v>0</v>
      </c>
      <c r="P59" s="35">
        <f t="shared" si="9"/>
        <v>3872.4104043039215</v>
      </c>
      <c r="Q59" s="50">
        <f t="shared" si="10"/>
        <v>137403.80365616328</v>
      </c>
      <c r="R59" s="34">
        <v>0</v>
      </c>
      <c r="S59" s="34">
        <f t="shared" si="11"/>
        <v>0</v>
      </c>
      <c r="T59" s="62" t="e">
        <f t="shared" si="4"/>
        <v>#N/A</v>
      </c>
      <c r="U59" s="63" t="e">
        <f t="shared" si="5"/>
        <v>#N/A</v>
      </c>
      <c r="V59" s="39" t="e">
        <f t="shared" si="6"/>
        <v>#N/A</v>
      </c>
      <c r="W59" s="37" t="e">
        <f t="shared" si="7"/>
        <v>#N/A</v>
      </c>
    </row>
    <row r="60" spans="1:23" ht="17.399999999999999" hidden="1">
      <c r="A60" s="57">
        <v>55</v>
      </c>
      <c r="B60" s="67" t="e">
        <f>VLOOKUP(A60,贴主险建议书!A:B,2,0)</f>
        <v>#N/A</v>
      </c>
      <c r="C60" s="51">
        <f t="shared" si="8"/>
        <v>666501.98691277381</v>
      </c>
      <c r="D60" s="35">
        <f t="shared" si="0"/>
        <v>6331.7688756713505</v>
      </c>
      <c r="E60" s="50">
        <f t="shared" si="1"/>
        <v>272833.75578844512</v>
      </c>
      <c r="F60" s="51">
        <v>0</v>
      </c>
      <c r="G60" s="35">
        <v>0</v>
      </c>
      <c r="H60" s="50">
        <f t="shared" si="12"/>
        <v>1434.0250000000001</v>
      </c>
      <c r="I60" s="57">
        <f t="shared" si="2"/>
        <v>400000</v>
      </c>
      <c r="J60" s="42" t="e">
        <f>VLOOKUP(A60,贴主险建议书!A:E,5,0)</f>
        <v>#N/A</v>
      </c>
      <c r="K60" s="42" t="e">
        <f>VLOOKUP(A60,贴主险建议书!A:G,7,0)</f>
        <v>#N/A</v>
      </c>
      <c r="L60" s="42" t="e">
        <f>VLOOKUP(A60,贴主险建议书!A:H,8,0)</f>
        <v>#N/A</v>
      </c>
      <c r="M60" s="42" t="e">
        <f t="shared" si="3"/>
        <v>#N/A</v>
      </c>
      <c r="N60" s="56" t="e">
        <f>VLOOKUP(A60,贴主险建议书!A:O,15,0)</f>
        <v>#N/A</v>
      </c>
      <c r="O60" s="57">
        <f t="shared" si="13"/>
        <v>0</v>
      </c>
      <c r="P60" s="35">
        <f t="shared" si="9"/>
        <v>3984.7103060287354</v>
      </c>
      <c r="Q60" s="50">
        <f t="shared" si="10"/>
        <v>141388.51396219202</v>
      </c>
      <c r="R60" s="34">
        <v>0</v>
      </c>
      <c r="S60" s="34">
        <f t="shared" si="11"/>
        <v>0</v>
      </c>
      <c r="T60" s="62" t="e">
        <f t="shared" si="4"/>
        <v>#N/A</v>
      </c>
      <c r="U60" s="63" t="e">
        <f t="shared" si="5"/>
        <v>#N/A</v>
      </c>
      <c r="V60" s="39" t="e">
        <f t="shared" si="6"/>
        <v>#N/A</v>
      </c>
      <c r="W60" s="37" t="e">
        <f t="shared" si="7"/>
        <v>#N/A</v>
      </c>
    </row>
    <row r="61" spans="1:23" ht="17.399999999999999" hidden="1">
      <c r="A61" s="57">
        <v>56</v>
      </c>
      <c r="B61" s="67" t="e">
        <f>VLOOKUP(A61,贴主险建议书!A:B,2,0)</f>
        <v>#N/A</v>
      </c>
      <c r="C61" s="51">
        <f t="shared" si="8"/>
        <v>672833.75578844512</v>
      </c>
      <c r="D61" s="35">
        <f t="shared" si="0"/>
        <v>6391.9206799902286</v>
      </c>
      <c r="E61" s="50">
        <f t="shared" si="1"/>
        <v>279225.67646843533</v>
      </c>
      <c r="F61" s="51">
        <v>0</v>
      </c>
      <c r="G61" s="35">
        <v>0</v>
      </c>
      <c r="H61" s="50">
        <f t="shared" si="12"/>
        <v>1434.0250000000001</v>
      </c>
      <c r="I61" s="57">
        <f t="shared" si="2"/>
        <v>400000</v>
      </c>
      <c r="J61" s="42" t="e">
        <f>VLOOKUP(A61,贴主险建议书!A:E,5,0)</f>
        <v>#N/A</v>
      </c>
      <c r="K61" s="42" t="e">
        <f>VLOOKUP(A61,贴主险建议书!A:G,7,0)</f>
        <v>#N/A</v>
      </c>
      <c r="L61" s="42" t="e">
        <f>VLOOKUP(A61,贴主险建议书!A:H,8,0)</f>
        <v>#N/A</v>
      </c>
      <c r="M61" s="42" t="e">
        <f t="shared" si="3"/>
        <v>#N/A</v>
      </c>
      <c r="N61" s="56" t="e">
        <f>VLOOKUP(A61,贴主险建议书!A:O,15,0)</f>
        <v>#N/A</v>
      </c>
      <c r="O61" s="57">
        <f t="shared" si="13"/>
        <v>0</v>
      </c>
      <c r="P61" s="35">
        <f t="shared" si="9"/>
        <v>4100.2669049035685</v>
      </c>
      <c r="Q61" s="50">
        <f t="shared" si="10"/>
        <v>145488.7808670956</v>
      </c>
      <c r="R61" s="34">
        <v>0</v>
      </c>
      <c r="S61" s="34">
        <f t="shared" si="11"/>
        <v>0</v>
      </c>
      <c r="T61" s="62" t="e">
        <f t="shared" si="4"/>
        <v>#N/A</v>
      </c>
      <c r="U61" s="63" t="e">
        <f t="shared" si="5"/>
        <v>#N/A</v>
      </c>
      <c r="V61" s="39" t="e">
        <f t="shared" si="6"/>
        <v>#N/A</v>
      </c>
      <c r="W61" s="37" t="e">
        <f t="shared" si="7"/>
        <v>#N/A</v>
      </c>
    </row>
    <row r="62" spans="1:23" ht="17.399999999999999" hidden="1">
      <c r="A62" s="57">
        <v>57</v>
      </c>
      <c r="B62" s="67" t="e">
        <f>VLOOKUP(A62,贴主险建议书!A:B,2,0)</f>
        <v>#N/A</v>
      </c>
      <c r="C62" s="51">
        <f t="shared" si="8"/>
        <v>679225.67646843533</v>
      </c>
      <c r="D62" s="35">
        <f t="shared" si="0"/>
        <v>6452.643926450135</v>
      </c>
      <c r="E62" s="50">
        <f t="shared" si="1"/>
        <v>285678.32039488549</v>
      </c>
      <c r="F62" s="51">
        <v>0</v>
      </c>
      <c r="G62" s="35">
        <v>0</v>
      </c>
      <c r="H62" s="50">
        <f t="shared" si="12"/>
        <v>1434.0250000000001</v>
      </c>
      <c r="I62" s="57">
        <f t="shared" si="2"/>
        <v>400000</v>
      </c>
      <c r="J62" s="42" t="e">
        <f>VLOOKUP(A62,贴主险建议书!A:E,5,0)</f>
        <v>#N/A</v>
      </c>
      <c r="K62" s="42" t="e">
        <f>VLOOKUP(A62,贴主险建议书!A:G,7,0)</f>
        <v>#N/A</v>
      </c>
      <c r="L62" s="42" t="e">
        <f>VLOOKUP(A62,贴主险建议书!A:H,8,0)</f>
        <v>#N/A</v>
      </c>
      <c r="M62" s="42" t="e">
        <f t="shared" si="3"/>
        <v>#N/A</v>
      </c>
      <c r="N62" s="56" t="e">
        <f>VLOOKUP(A62,贴主险建议书!A:O,15,0)</f>
        <v>#N/A</v>
      </c>
      <c r="O62" s="57">
        <f t="shared" si="13"/>
        <v>0</v>
      </c>
      <c r="P62" s="35">
        <f t="shared" si="9"/>
        <v>4219.174645145773</v>
      </c>
      <c r="Q62" s="50">
        <f t="shared" si="10"/>
        <v>149707.95551224137</v>
      </c>
      <c r="R62" s="34">
        <v>0</v>
      </c>
      <c r="S62" s="34">
        <f t="shared" si="11"/>
        <v>0</v>
      </c>
      <c r="T62" s="62" t="e">
        <f t="shared" si="4"/>
        <v>#N/A</v>
      </c>
      <c r="U62" s="63" t="e">
        <f t="shared" si="5"/>
        <v>#N/A</v>
      </c>
      <c r="V62" s="39" t="e">
        <f t="shared" si="6"/>
        <v>#N/A</v>
      </c>
      <c r="W62" s="37" t="e">
        <f t="shared" si="7"/>
        <v>#N/A</v>
      </c>
    </row>
    <row r="63" spans="1:23" ht="17.399999999999999" hidden="1">
      <c r="A63" s="57">
        <v>58</v>
      </c>
      <c r="B63" s="67" t="e">
        <f>VLOOKUP(A63,贴主险建议书!A:B,2,0)</f>
        <v>#N/A</v>
      </c>
      <c r="C63" s="51">
        <f t="shared" si="8"/>
        <v>685678.32039488549</v>
      </c>
      <c r="D63" s="35">
        <f t="shared" si="0"/>
        <v>6513.9440437514122</v>
      </c>
      <c r="E63" s="50">
        <f t="shared" si="1"/>
        <v>292192.26443863695</v>
      </c>
      <c r="F63" s="51">
        <v>0</v>
      </c>
      <c r="G63" s="35">
        <v>0</v>
      </c>
      <c r="H63" s="50">
        <f t="shared" si="12"/>
        <v>1434.0250000000001</v>
      </c>
      <c r="I63" s="57">
        <f t="shared" si="2"/>
        <v>400000</v>
      </c>
      <c r="J63" s="42" t="e">
        <f>VLOOKUP(A63,贴主险建议书!A:E,5,0)</f>
        <v>#N/A</v>
      </c>
      <c r="K63" s="42" t="e">
        <f>VLOOKUP(A63,贴主险建议书!A:G,7,0)</f>
        <v>#N/A</v>
      </c>
      <c r="L63" s="42" t="e">
        <f>VLOOKUP(A63,贴主险建议书!A:H,8,0)</f>
        <v>#N/A</v>
      </c>
      <c r="M63" s="42" t="e">
        <f t="shared" si="3"/>
        <v>#N/A</v>
      </c>
      <c r="N63" s="56" t="e">
        <f>VLOOKUP(A63,贴主险建议书!A:O,15,0)</f>
        <v>#N/A</v>
      </c>
      <c r="O63" s="57">
        <f t="shared" si="13"/>
        <v>0</v>
      </c>
      <c r="P63" s="35">
        <f t="shared" si="9"/>
        <v>4341.5307098550002</v>
      </c>
      <c r="Q63" s="50">
        <f t="shared" si="10"/>
        <v>154049.48622209637</v>
      </c>
      <c r="R63" s="34">
        <v>0</v>
      </c>
      <c r="S63" s="34">
        <f t="shared" si="11"/>
        <v>0</v>
      </c>
      <c r="T63" s="62" t="e">
        <f t="shared" si="4"/>
        <v>#N/A</v>
      </c>
      <c r="U63" s="63" t="e">
        <f t="shared" si="5"/>
        <v>#N/A</v>
      </c>
      <c r="V63" s="39" t="e">
        <f t="shared" si="6"/>
        <v>#N/A</v>
      </c>
      <c r="W63" s="37" t="e">
        <f t="shared" si="7"/>
        <v>#N/A</v>
      </c>
    </row>
    <row r="64" spans="1:23" ht="17.399999999999999" hidden="1">
      <c r="A64" s="57">
        <v>59</v>
      </c>
      <c r="B64" s="67" t="e">
        <f>VLOOKUP(A64,贴主险建议书!A:B,2,0)</f>
        <v>#N/A</v>
      </c>
      <c r="C64" s="51">
        <f t="shared" si="8"/>
        <v>692192.26443863695</v>
      </c>
      <c r="D64" s="35">
        <f t="shared" si="0"/>
        <v>6575.8265121670511</v>
      </c>
      <c r="E64" s="50">
        <f t="shared" si="1"/>
        <v>298768.09095080395</v>
      </c>
      <c r="F64" s="51">
        <v>0</v>
      </c>
      <c r="G64" s="35">
        <v>0</v>
      </c>
      <c r="H64" s="50">
        <f t="shared" si="12"/>
        <v>1434.0250000000001</v>
      </c>
      <c r="I64" s="57">
        <f t="shared" si="2"/>
        <v>400000</v>
      </c>
      <c r="J64" s="42" t="e">
        <f>VLOOKUP(A64,贴主险建议书!A:E,5,0)</f>
        <v>#N/A</v>
      </c>
      <c r="K64" s="42" t="e">
        <f>VLOOKUP(A64,贴主险建议书!A:G,7,0)</f>
        <v>#N/A</v>
      </c>
      <c r="L64" s="42" t="e">
        <f>VLOOKUP(A64,贴主险建议书!A:H,8,0)</f>
        <v>#N/A</v>
      </c>
      <c r="M64" s="42" t="e">
        <f t="shared" si="3"/>
        <v>#N/A</v>
      </c>
      <c r="N64" s="56" t="e">
        <f>VLOOKUP(A64,贴主险建议书!A:O,15,0)</f>
        <v>#N/A</v>
      </c>
      <c r="O64" s="57">
        <f t="shared" si="13"/>
        <v>0</v>
      </c>
      <c r="P64" s="35">
        <f t="shared" si="9"/>
        <v>4467.4351004407954</v>
      </c>
      <c r="Q64" s="50">
        <f t="shared" si="10"/>
        <v>158516.92132253718</v>
      </c>
      <c r="R64" s="34">
        <v>0</v>
      </c>
      <c r="S64" s="34">
        <f t="shared" si="11"/>
        <v>0</v>
      </c>
      <c r="T64" s="62" t="e">
        <f t="shared" si="4"/>
        <v>#N/A</v>
      </c>
      <c r="U64" s="63" t="e">
        <f t="shared" si="5"/>
        <v>#N/A</v>
      </c>
      <c r="V64" s="39" t="e">
        <f t="shared" si="6"/>
        <v>#N/A</v>
      </c>
      <c r="W64" s="37" t="e">
        <f t="shared" si="7"/>
        <v>#N/A</v>
      </c>
    </row>
    <row r="65" spans="1:23" ht="17.399999999999999" hidden="1">
      <c r="A65" s="57">
        <v>60</v>
      </c>
      <c r="B65" s="67" t="e">
        <f>VLOOKUP(A65,贴主险建议书!A:B,2,0)</f>
        <v>#N/A</v>
      </c>
      <c r="C65" s="51">
        <f t="shared" si="8"/>
        <v>698768.09095080395</v>
      </c>
      <c r="D65" s="35">
        <f t="shared" si="0"/>
        <v>6638.2968640326371</v>
      </c>
      <c r="E65" s="50">
        <f t="shared" si="1"/>
        <v>305406.38781483658</v>
      </c>
      <c r="F65" s="51">
        <v>0</v>
      </c>
      <c r="G65" s="35">
        <v>0</v>
      </c>
      <c r="H65" s="50">
        <f t="shared" si="12"/>
        <v>1434.0250000000001</v>
      </c>
      <c r="I65" s="57">
        <f t="shared" si="2"/>
        <v>400000</v>
      </c>
      <c r="J65" s="42" t="e">
        <f>VLOOKUP(A65,贴主险建议书!A:E,5,0)</f>
        <v>#N/A</v>
      </c>
      <c r="K65" s="42" t="e">
        <f>VLOOKUP(A65,贴主险建议书!A:G,7,0)</f>
        <v>#N/A</v>
      </c>
      <c r="L65" s="42" t="e">
        <f>VLOOKUP(A65,贴主险建议书!A:H,8,0)</f>
        <v>#N/A</v>
      </c>
      <c r="M65" s="42" t="e">
        <f t="shared" si="3"/>
        <v>#N/A</v>
      </c>
      <c r="N65" s="56" t="e">
        <f>VLOOKUP(A65,贴主险建议书!A:O,15,0)</f>
        <v>#N/A</v>
      </c>
      <c r="O65" s="57">
        <f t="shared" si="13"/>
        <v>0</v>
      </c>
      <c r="P65" s="35">
        <f t="shared" si="9"/>
        <v>4596.9907183535788</v>
      </c>
      <c r="Q65" s="50">
        <f t="shared" si="10"/>
        <v>163113.91204089075</v>
      </c>
      <c r="R65" s="34">
        <v>0</v>
      </c>
      <c r="S65" s="34">
        <f t="shared" si="11"/>
        <v>0</v>
      </c>
      <c r="T65" s="62" t="e">
        <f t="shared" si="4"/>
        <v>#N/A</v>
      </c>
      <c r="U65" s="63" t="e">
        <f t="shared" si="5"/>
        <v>#N/A</v>
      </c>
      <c r="V65" s="39" t="e">
        <f t="shared" si="6"/>
        <v>#N/A</v>
      </c>
      <c r="W65" s="37" t="e">
        <f t="shared" si="7"/>
        <v>#N/A</v>
      </c>
    </row>
    <row r="66" spans="1:23" ht="17.399999999999999" hidden="1">
      <c r="A66" s="57">
        <v>61</v>
      </c>
      <c r="B66" s="67" t="e">
        <f>VLOOKUP(A66,贴主险建议书!A:B,2,0)</f>
        <v>#N/A</v>
      </c>
      <c r="C66" s="51">
        <f t="shared" si="8"/>
        <v>705406.38781483658</v>
      </c>
      <c r="D66" s="35">
        <f t="shared" si="0"/>
        <v>6701.3606842409472</v>
      </c>
      <c r="E66" s="50">
        <f t="shared" si="1"/>
        <v>312107.74849907751</v>
      </c>
      <c r="F66" s="51">
        <v>0</v>
      </c>
      <c r="G66" s="35">
        <v>0</v>
      </c>
      <c r="H66" s="50">
        <f t="shared" si="12"/>
        <v>1434.0250000000001</v>
      </c>
      <c r="I66" s="57">
        <f t="shared" si="2"/>
        <v>400000</v>
      </c>
      <c r="J66" s="42" t="e">
        <f>VLOOKUP(A66,贴主险建议书!A:E,5,0)</f>
        <v>#N/A</v>
      </c>
      <c r="K66" s="42" t="e">
        <f>VLOOKUP(A66,贴主险建议书!A:G,7,0)</f>
        <v>#N/A</v>
      </c>
      <c r="L66" s="42" t="e">
        <f>VLOOKUP(A66,贴主险建议书!A:H,8,0)</f>
        <v>#N/A</v>
      </c>
      <c r="M66" s="42" t="e">
        <f t="shared" si="3"/>
        <v>#N/A</v>
      </c>
      <c r="N66" s="56" t="e">
        <f>VLOOKUP(A66,贴主险建议书!A:O,15,0)</f>
        <v>#N/A</v>
      </c>
      <c r="O66" s="57">
        <f t="shared" si="13"/>
        <v>0</v>
      </c>
      <c r="P66" s="35">
        <f t="shared" si="9"/>
        <v>4730.3034491858316</v>
      </c>
      <c r="Q66" s="50">
        <f t="shared" si="10"/>
        <v>167844.21549007657</v>
      </c>
      <c r="R66" s="34">
        <v>1</v>
      </c>
      <c r="S66" s="34">
        <f t="shared" si="11"/>
        <v>1</v>
      </c>
      <c r="T66" s="62" t="e">
        <f t="shared" si="4"/>
        <v>#N/A</v>
      </c>
      <c r="U66" s="63" t="e">
        <f t="shared" si="5"/>
        <v>#N/A</v>
      </c>
      <c r="V66" s="39" t="e">
        <f t="shared" si="6"/>
        <v>#N/A</v>
      </c>
      <c r="W66" s="37" t="e">
        <f t="shared" si="7"/>
        <v>#N/A</v>
      </c>
    </row>
    <row r="67" spans="1:23" ht="17.399999999999999" hidden="1">
      <c r="A67" s="57">
        <v>62</v>
      </c>
      <c r="B67" s="67" t="e">
        <f>VLOOKUP(A67,贴主险建议书!A:B,2,0)</f>
        <v>#N/A</v>
      </c>
      <c r="C67" s="51">
        <f t="shared" si="8"/>
        <v>712107.74849907751</v>
      </c>
      <c r="D67" s="35">
        <f t="shared" si="0"/>
        <v>6765.0236107412366</v>
      </c>
      <c r="E67" s="50">
        <f t="shared" si="1"/>
        <v>318872.77210981876</v>
      </c>
      <c r="F67" s="51">
        <v>0</v>
      </c>
      <c r="G67" s="35">
        <v>0</v>
      </c>
      <c r="H67" s="50">
        <f t="shared" si="12"/>
        <v>1434.0250000000001</v>
      </c>
      <c r="I67" s="57">
        <f t="shared" si="2"/>
        <v>400000</v>
      </c>
      <c r="J67" s="42" t="e">
        <f>VLOOKUP(A67,贴主险建议书!A:E,5,0)</f>
        <v>#N/A</v>
      </c>
      <c r="K67" s="42" t="e">
        <f>VLOOKUP(A67,贴主险建议书!A:G,7,0)</f>
        <v>#N/A</v>
      </c>
      <c r="L67" s="42" t="e">
        <f>VLOOKUP(A67,贴主险建议书!A:H,8,0)</f>
        <v>#N/A</v>
      </c>
      <c r="M67" s="42" t="e">
        <f t="shared" si="3"/>
        <v>#N/A</v>
      </c>
      <c r="N67" s="56" t="e">
        <f>VLOOKUP(A67,贴主险建议书!A:O,15,0)</f>
        <v>#N/A</v>
      </c>
      <c r="O67" s="57">
        <f t="shared" si="13"/>
        <v>0</v>
      </c>
      <c r="P67" s="35">
        <f t="shared" si="9"/>
        <v>4867.4822492122212</v>
      </c>
      <c r="Q67" s="50">
        <f t="shared" si="10"/>
        <v>172711.69773928879</v>
      </c>
      <c r="R67" s="34">
        <v>2</v>
      </c>
      <c r="S67" s="34">
        <f t="shared" si="11"/>
        <v>3</v>
      </c>
      <c r="T67" s="62" t="e">
        <f t="shared" si="4"/>
        <v>#N/A</v>
      </c>
      <c r="U67" s="63" t="e">
        <f t="shared" si="5"/>
        <v>#N/A</v>
      </c>
      <c r="V67" s="39" t="e">
        <f t="shared" si="6"/>
        <v>#N/A</v>
      </c>
      <c r="W67" s="37" t="e">
        <f t="shared" si="7"/>
        <v>#N/A</v>
      </c>
    </row>
    <row r="68" spans="1:23" ht="17.399999999999999" hidden="1">
      <c r="A68" s="57">
        <v>63</v>
      </c>
      <c r="B68" s="67" t="e">
        <f>VLOOKUP(A68,贴主险建议书!A:B,2,0)</f>
        <v>#N/A</v>
      </c>
      <c r="C68" s="51">
        <f t="shared" si="8"/>
        <v>718872.77210981876</v>
      </c>
      <c r="D68" s="35">
        <f t="shared" si="0"/>
        <v>6829.2913350432782</v>
      </c>
      <c r="E68" s="50">
        <f t="shared" si="1"/>
        <v>325702.06344486203</v>
      </c>
      <c r="F68" s="51">
        <v>0</v>
      </c>
      <c r="G68" s="35">
        <v>0</v>
      </c>
      <c r="H68" s="50">
        <f t="shared" si="12"/>
        <v>1434.0250000000001</v>
      </c>
      <c r="I68" s="57">
        <f t="shared" si="2"/>
        <v>400000</v>
      </c>
      <c r="J68" s="42" t="e">
        <f>VLOOKUP(A68,贴主险建议书!A:E,5,0)</f>
        <v>#N/A</v>
      </c>
      <c r="K68" s="42" t="e">
        <f>VLOOKUP(A68,贴主险建议书!A:G,7,0)</f>
        <v>#N/A</v>
      </c>
      <c r="L68" s="42" t="e">
        <f>VLOOKUP(A68,贴主险建议书!A:H,8,0)</f>
        <v>#N/A</v>
      </c>
      <c r="M68" s="42" t="e">
        <f t="shared" si="3"/>
        <v>#N/A</v>
      </c>
      <c r="N68" s="56" t="e">
        <f>VLOOKUP(A68,贴主险建议书!A:O,15,0)</f>
        <v>#N/A</v>
      </c>
      <c r="O68" s="57">
        <f t="shared" si="13"/>
        <v>0</v>
      </c>
      <c r="P68" s="35">
        <f t="shared" si="9"/>
        <v>5008.6392344393753</v>
      </c>
      <c r="Q68" s="50">
        <f t="shared" si="10"/>
        <v>177720.33697372818</v>
      </c>
      <c r="R68" s="34">
        <v>3</v>
      </c>
      <c r="S68" s="34">
        <f t="shared" si="11"/>
        <v>6</v>
      </c>
      <c r="T68" s="62" t="e">
        <f t="shared" si="4"/>
        <v>#N/A</v>
      </c>
      <c r="U68" s="63" t="e">
        <f t="shared" si="5"/>
        <v>#N/A</v>
      </c>
      <c r="V68" s="39" t="e">
        <f t="shared" si="6"/>
        <v>#N/A</v>
      </c>
      <c r="W68" s="37" t="e">
        <f t="shared" si="7"/>
        <v>#N/A</v>
      </c>
    </row>
    <row r="69" spans="1:23" ht="17.399999999999999" hidden="1">
      <c r="A69" s="57">
        <v>64</v>
      </c>
      <c r="B69" s="67" t="e">
        <f>VLOOKUP(A69,贴主险建议书!A:B,2,0)</f>
        <v>#N/A</v>
      </c>
      <c r="C69" s="51">
        <f t="shared" si="8"/>
        <v>725702.06344486203</v>
      </c>
      <c r="D69" s="35">
        <f t="shared" si="0"/>
        <v>6894.1696027261887</v>
      </c>
      <c r="E69" s="50">
        <f t="shared" si="1"/>
        <v>332596.23304758826</v>
      </c>
      <c r="F69" s="51">
        <v>0</v>
      </c>
      <c r="G69" s="35">
        <v>0</v>
      </c>
      <c r="H69" s="50">
        <f t="shared" si="12"/>
        <v>1434.0250000000001</v>
      </c>
      <c r="I69" s="57">
        <f t="shared" si="2"/>
        <v>400000</v>
      </c>
      <c r="J69" s="42" t="e">
        <f>VLOOKUP(A69,贴主险建议书!A:E,5,0)</f>
        <v>#N/A</v>
      </c>
      <c r="K69" s="42" t="e">
        <f>VLOOKUP(A69,贴主险建议书!A:G,7,0)</f>
        <v>#N/A</v>
      </c>
      <c r="L69" s="42" t="e">
        <f>VLOOKUP(A69,贴主险建议书!A:H,8,0)</f>
        <v>#N/A</v>
      </c>
      <c r="M69" s="42" t="e">
        <f t="shared" si="3"/>
        <v>#N/A</v>
      </c>
      <c r="N69" s="56" t="e">
        <f>VLOOKUP(A69,贴主险建议书!A:O,15,0)</f>
        <v>#N/A</v>
      </c>
      <c r="O69" s="57">
        <f t="shared" si="13"/>
        <v>0</v>
      </c>
      <c r="P69" s="35">
        <f t="shared" si="9"/>
        <v>5153.8897722381171</v>
      </c>
      <c r="Q69" s="50">
        <f t="shared" si="10"/>
        <v>182874.2267459663</v>
      </c>
      <c r="R69" s="34">
        <v>4</v>
      </c>
      <c r="S69" s="34">
        <f t="shared" si="11"/>
        <v>10</v>
      </c>
      <c r="T69" s="62" t="e">
        <f t="shared" si="4"/>
        <v>#N/A</v>
      </c>
      <c r="U69" s="63" t="e">
        <f t="shared" si="5"/>
        <v>#N/A</v>
      </c>
      <c r="V69" s="39" t="e">
        <f t="shared" si="6"/>
        <v>#N/A</v>
      </c>
      <c r="W69" s="37" t="e">
        <f t="shared" si="7"/>
        <v>#N/A</v>
      </c>
    </row>
    <row r="70" spans="1:23" ht="18" hidden="1" thickBot="1">
      <c r="A70" s="58">
        <v>65</v>
      </c>
      <c r="B70" s="68" t="e">
        <f>VLOOKUP(A70,贴主险建议书!A:B,2,0)</f>
        <v>#N/A</v>
      </c>
      <c r="C70" s="52">
        <f t="shared" si="8"/>
        <v>732596.23304758826</v>
      </c>
      <c r="D70" s="53">
        <f>C70*$D$4</f>
        <v>6959.6642139520882</v>
      </c>
      <c r="E70" s="54">
        <f>D70+C70-$C$6</f>
        <v>339555.89726154041</v>
      </c>
      <c r="F70" s="52">
        <v>0</v>
      </c>
      <c r="G70" s="53">
        <v>0</v>
      </c>
      <c r="H70" s="54">
        <f t="shared" si="12"/>
        <v>1434.0250000000001</v>
      </c>
      <c r="I70" s="58">
        <f>IF(A70&lt;=$D$3,$C$6/$D$3*$A70,$C$6)</f>
        <v>400000</v>
      </c>
      <c r="J70" s="59" t="e">
        <f>VLOOKUP(A70,贴主险建议书!A:E,5,0)</f>
        <v>#N/A</v>
      </c>
      <c r="K70" s="59" t="e">
        <f>VLOOKUP(A70,贴主险建议书!A:G,7,0)</f>
        <v>#N/A</v>
      </c>
      <c r="L70" s="59" t="e">
        <f>VLOOKUP(A70,贴主险建议书!A:H,8,0)</f>
        <v>#N/A</v>
      </c>
      <c r="M70" s="59" t="e">
        <f>IF((N70-I70)&lt;=L70,L70,N70-I70)</f>
        <v>#N/A</v>
      </c>
      <c r="N70" s="60" t="e">
        <f>VLOOKUP(A70,贴主险建议书!A:O,15,0)</f>
        <v>#N/A</v>
      </c>
      <c r="O70" s="58">
        <f t="shared" si="13"/>
        <v>0</v>
      </c>
      <c r="P70" s="53">
        <f t="shared" si="9"/>
        <v>5303.3525756330228</v>
      </c>
      <c r="Q70" s="54">
        <f t="shared" si="10"/>
        <v>188177.57932159933</v>
      </c>
      <c r="R70" s="34">
        <v>5</v>
      </c>
      <c r="S70" s="34">
        <f t="shared" si="11"/>
        <v>15</v>
      </c>
      <c r="T70" s="64" t="e">
        <f>M70+Q70+H70+S70</f>
        <v>#N/A</v>
      </c>
      <c r="U70" s="65" t="e">
        <f>T70/E70</f>
        <v>#N/A</v>
      </c>
      <c r="V70" s="40" t="e">
        <f>N70+S70+Q70+O70+H70+F70</f>
        <v>#N/A</v>
      </c>
      <c r="W70" s="38" t="e">
        <f>V70/$C$6</f>
        <v>#N/A</v>
      </c>
    </row>
  </sheetData>
  <mergeCells count="12">
    <mergeCell ref="A1:U1"/>
    <mergeCell ref="T2:U3"/>
    <mergeCell ref="F2:Q3"/>
    <mergeCell ref="T4:U4"/>
    <mergeCell ref="V4:W4"/>
    <mergeCell ref="A4:A5"/>
    <mergeCell ref="B4:B5"/>
    <mergeCell ref="D4:E4"/>
    <mergeCell ref="F4:H4"/>
    <mergeCell ref="I4:N4"/>
    <mergeCell ref="O4:P4"/>
    <mergeCell ref="R4:S4"/>
  </mergeCells>
  <phoneticPr fontId="1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9"/>
  <sheetViews>
    <sheetView workbookViewId="0">
      <selection activeCell="A19" sqref="A19:XFD19"/>
    </sheetView>
  </sheetViews>
  <sheetFormatPr defaultColWidth="8.77734375" defaultRowHeight="15"/>
  <cols>
    <col min="1" max="1" width="8.77734375" style="4"/>
    <col min="2" max="2" width="8.77734375" style="4" customWidth="1"/>
    <col min="3" max="3" width="12.77734375" style="4"/>
    <col min="4" max="6" width="9.5546875" style="4"/>
    <col min="7" max="8" width="9.5546875" style="4" customWidth="1"/>
    <col min="9" max="10" width="13.44140625" style="4" customWidth="1"/>
    <col min="11" max="11" width="17.109375" style="4" customWidth="1"/>
    <col min="12" max="13" width="19.88671875" style="4" customWidth="1"/>
    <col min="14" max="14" width="15" style="4" customWidth="1"/>
    <col min="15" max="15" width="10.21875" style="4" customWidth="1"/>
    <col min="16" max="16" width="11.33203125" style="4" customWidth="1"/>
    <col min="17" max="17" width="14" style="4" customWidth="1"/>
    <col min="18" max="18" width="7.44140625" style="4" customWidth="1"/>
    <col min="19" max="19" width="7.33203125" style="4" customWidth="1"/>
    <col min="20" max="20" width="9.77734375" style="4" customWidth="1"/>
    <col min="21" max="21" width="12.77734375" style="4"/>
    <col min="22" max="22" width="10.109375" style="5" customWidth="1"/>
    <col min="23" max="23" width="8.5546875" style="6" customWidth="1"/>
    <col min="24" max="16384" width="8.77734375" style="3"/>
  </cols>
  <sheetData>
    <row r="1" spans="1:23" ht="22.05" customHeight="1">
      <c r="A1" s="7" t="s">
        <v>30</v>
      </c>
      <c r="B1" s="7" t="s">
        <v>31</v>
      </c>
      <c r="C1" s="7" t="s">
        <v>6</v>
      </c>
      <c r="D1" s="7">
        <v>40</v>
      </c>
      <c r="E1" s="7" t="s">
        <v>4</v>
      </c>
      <c r="F1" s="7">
        <v>8</v>
      </c>
      <c r="G1" s="7" t="s">
        <v>2</v>
      </c>
      <c r="H1" s="7">
        <v>1080000</v>
      </c>
      <c r="I1" s="106" t="s">
        <v>32</v>
      </c>
      <c r="J1" s="116"/>
      <c r="K1" s="116"/>
      <c r="L1" s="116"/>
      <c r="M1" s="116"/>
      <c r="N1" s="107"/>
      <c r="O1" s="110" t="s">
        <v>33</v>
      </c>
      <c r="P1" s="111"/>
      <c r="Q1" s="112"/>
      <c r="R1" s="120" t="s">
        <v>34</v>
      </c>
      <c r="S1" s="120"/>
    </row>
    <row r="2" spans="1:23" ht="22.05" customHeight="1">
      <c r="A2" s="121" t="s">
        <v>35</v>
      </c>
      <c r="B2" s="121"/>
      <c r="C2" s="121"/>
      <c r="D2" s="121"/>
      <c r="E2" s="121"/>
      <c r="F2" s="121"/>
      <c r="G2" s="121"/>
      <c r="H2" s="121"/>
      <c r="I2" s="117"/>
      <c r="J2" s="118"/>
      <c r="K2" s="118"/>
      <c r="L2" s="118"/>
      <c r="M2" s="118"/>
      <c r="N2" s="119"/>
      <c r="O2" s="113"/>
      <c r="P2" s="114"/>
      <c r="Q2" s="115"/>
      <c r="R2" s="120"/>
      <c r="S2" s="120"/>
    </row>
    <row r="3" spans="1:23" ht="15.6">
      <c r="A3" s="109" t="s">
        <v>5</v>
      </c>
      <c r="B3" s="109" t="s">
        <v>6</v>
      </c>
      <c r="C3" s="8" t="s">
        <v>7</v>
      </c>
      <c r="D3" s="12">
        <v>9.4999999999999998E-3</v>
      </c>
      <c r="E3" s="13"/>
      <c r="F3" s="122" t="s">
        <v>8</v>
      </c>
      <c r="G3" s="123"/>
      <c r="H3" s="124"/>
      <c r="I3" s="106" t="s">
        <v>9</v>
      </c>
      <c r="J3" s="116"/>
      <c r="K3" s="116"/>
      <c r="L3" s="116"/>
      <c r="M3" s="116"/>
      <c r="N3" s="107"/>
      <c r="O3" s="106" t="s">
        <v>10</v>
      </c>
      <c r="P3" s="116"/>
      <c r="Q3" s="12">
        <v>2.9000000000000001E-2</v>
      </c>
      <c r="R3" s="106" t="s">
        <v>11</v>
      </c>
      <c r="S3" s="107"/>
      <c r="T3" s="106" t="s">
        <v>12</v>
      </c>
      <c r="U3" s="107"/>
      <c r="V3" s="106" t="s">
        <v>13</v>
      </c>
      <c r="W3" s="108"/>
    </row>
    <row r="4" spans="1:23">
      <c r="A4" s="109"/>
      <c r="B4" s="109"/>
      <c r="C4" s="14" t="s">
        <v>14</v>
      </c>
      <c r="D4" s="4" t="s">
        <v>15</v>
      </c>
      <c r="E4" s="15" t="s">
        <v>16</v>
      </c>
      <c r="F4" s="14" t="s">
        <v>17</v>
      </c>
      <c r="G4" s="4" t="s">
        <v>15</v>
      </c>
      <c r="H4" s="15" t="s">
        <v>16</v>
      </c>
      <c r="I4" s="14" t="s">
        <v>18</v>
      </c>
      <c r="J4" s="4" t="s">
        <v>19</v>
      </c>
      <c r="K4" s="4" t="s">
        <v>20</v>
      </c>
      <c r="L4" s="4" t="s">
        <v>21</v>
      </c>
      <c r="M4" s="4" t="s">
        <v>36</v>
      </c>
      <c r="N4" s="15" t="s">
        <v>22</v>
      </c>
      <c r="O4" s="14" t="s">
        <v>10</v>
      </c>
      <c r="P4" s="4" t="s">
        <v>15</v>
      </c>
      <c r="Q4" s="15" t="s">
        <v>23</v>
      </c>
      <c r="R4" s="16" t="s">
        <v>24</v>
      </c>
      <c r="S4" s="15" t="s">
        <v>25</v>
      </c>
      <c r="T4" s="14" t="s">
        <v>16</v>
      </c>
      <c r="U4" s="15" t="s">
        <v>37</v>
      </c>
      <c r="V4" s="17" t="s">
        <v>28</v>
      </c>
      <c r="W4" s="18" t="s">
        <v>29</v>
      </c>
    </row>
    <row r="5" spans="1:23" ht="15.6">
      <c r="A5" s="11">
        <v>1</v>
      </c>
      <c r="B5" s="11">
        <f>VLOOKUP(A5,贴主险建议书!A:B,2,0)</f>
        <v>61</v>
      </c>
      <c r="C5" s="19">
        <f>H1</f>
        <v>1080000</v>
      </c>
      <c r="D5" s="5">
        <f t="shared" ref="D5:D68" si="0">C5*$D$3</f>
        <v>10260</v>
      </c>
      <c r="E5" s="20">
        <f>D5+C5-$C$5</f>
        <v>10260</v>
      </c>
      <c r="F5" s="21">
        <f>C5-O5-I5</f>
        <v>270000</v>
      </c>
      <c r="G5" s="5">
        <f>F5*$D$3</f>
        <v>2565</v>
      </c>
      <c r="H5" s="20">
        <f>G5</f>
        <v>2565</v>
      </c>
      <c r="I5" s="21">
        <f t="shared" ref="I5:I68" si="1">IF(A5&lt;=$F$1,$C$5/$F$1*$A5,$C$5)</f>
        <v>135000</v>
      </c>
      <c r="J5" s="22">
        <f>VLOOKUP(A5,贴主险建议书!A:E,5,0)</f>
        <v>11051</v>
      </c>
      <c r="K5" s="22">
        <f>VLOOKUP(A5,贴主险建议书!A:G,7,0)</f>
        <v>395</v>
      </c>
      <c r="L5" s="22">
        <f>VLOOKUP(A5,贴主险建议书!A:H,8,0)</f>
        <v>395</v>
      </c>
      <c r="M5" s="22">
        <f>IF((N5-I5)&lt;=L5,L5,N5-I5)</f>
        <v>395</v>
      </c>
      <c r="N5" s="23">
        <f>VLOOKUP(A5,贴主险建议书!A:O,15,0)</f>
        <v>11528</v>
      </c>
      <c r="O5" s="21">
        <f>I5*5</f>
        <v>675000</v>
      </c>
      <c r="P5" s="5">
        <f>O5*98%*$Q$3-O5*2%</f>
        <v>5683.5</v>
      </c>
      <c r="Q5" s="20">
        <f>P5</f>
        <v>5683.5</v>
      </c>
      <c r="R5" s="24">
        <v>0</v>
      </c>
      <c r="S5" s="15">
        <f>R5*I5</f>
        <v>0</v>
      </c>
      <c r="T5" s="25">
        <f>M5+Q5+H5+S5</f>
        <v>8643.5</v>
      </c>
      <c r="U5" s="18">
        <f>T5/E5</f>
        <v>0.84244639376218322</v>
      </c>
      <c r="V5" s="26">
        <f>N5+S5+Q5+O5+H5+F5</f>
        <v>964776.5</v>
      </c>
      <c r="W5" s="18">
        <f t="shared" ref="W5:W68" si="2">V5/$C$5</f>
        <v>0.89331157407407402</v>
      </c>
    </row>
    <row r="6" spans="1:23">
      <c r="A6" s="11">
        <v>2</v>
      </c>
      <c r="B6" s="11">
        <f>VLOOKUP(A6,贴主险建议书!A:B,2,0)</f>
        <v>62</v>
      </c>
      <c r="C6" s="17">
        <f t="shared" ref="C6:C69" si="3">C5+D5</f>
        <v>1090260</v>
      </c>
      <c r="D6" s="5">
        <f t="shared" si="0"/>
        <v>10357.469999999999</v>
      </c>
      <c r="E6" s="20">
        <f t="shared" ref="E6:E69" si="4">D6+C6-$C$5</f>
        <v>20617.469999999972</v>
      </c>
      <c r="F6" s="17">
        <f>C5-O6-I6</f>
        <v>135000</v>
      </c>
      <c r="G6" s="5">
        <f>(F6+H5)*$D$3</f>
        <v>1306.8675000000001</v>
      </c>
      <c r="H6" s="20">
        <f>G6+H5</f>
        <v>3871.8675000000003</v>
      </c>
      <c r="I6" s="14">
        <f t="shared" si="1"/>
        <v>270000</v>
      </c>
      <c r="J6" s="22">
        <f>VLOOKUP(A6,贴主险建议书!A:E,5,0)</f>
        <v>28025</v>
      </c>
      <c r="K6" s="22">
        <f>VLOOKUP(A6,贴主险建议书!A:G,7,0)</f>
        <v>954</v>
      </c>
      <c r="L6" s="22">
        <f>VLOOKUP(A6,贴主险建议书!A:H,8,0)</f>
        <v>1349</v>
      </c>
      <c r="M6" s="22">
        <f t="shared" ref="M6:M37" si="5">IF((N6-I6)&lt;=L6,L6,N6-I6)</f>
        <v>1349</v>
      </c>
      <c r="N6" s="23">
        <f>VLOOKUP(A6,贴主险建议书!A:O,15,0)</f>
        <v>29462</v>
      </c>
      <c r="O6" s="14">
        <f>O5</f>
        <v>675000</v>
      </c>
      <c r="P6" s="5">
        <f>(O6+Q5)*$Q$3</f>
        <v>19739.821500000002</v>
      </c>
      <c r="Q6" s="20">
        <f t="shared" ref="Q6:Q69" si="6">P6+Q5</f>
        <v>25423.321500000002</v>
      </c>
      <c r="R6" s="14">
        <v>0</v>
      </c>
      <c r="S6" s="15">
        <f t="shared" ref="S6:S69" si="7">S5+R6</f>
        <v>0</v>
      </c>
      <c r="T6" s="25">
        <f>M6+Q6+H6+S6</f>
        <v>30644.189000000002</v>
      </c>
      <c r="U6" s="18">
        <f t="shared" ref="U6:U37" si="8">T6/E6</f>
        <v>1.4863215030748216</v>
      </c>
      <c r="V6" s="26">
        <f t="shared" ref="V6:V37" si="9">N6+S6+Q6+O6+H6+F6</f>
        <v>868757.18900000001</v>
      </c>
      <c r="W6" s="18">
        <f t="shared" si="2"/>
        <v>0.8044048046296296</v>
      </c>
    </row>
    <row r="7" spans="1:23">
      <c r="A7" s="11">
        <v>3</v>
      </c>
      <c r="B7" s="11">
        <f>VLOOKUP(A7,贴主险建议书!A:B,2,0)</f>
        <v>63</v>
      </c>
      <c r="C7" s="17">
        <f t="shared" si="3"/>
        <v>1100617.47</v>
      </c>
      <c r="D7" s="5">
        <f t="shared" si="0"/>
        <v>10455.865964999999</v>
      </c>
      <c r="E7" s="20">
        <f t="shared" si="4"/>
        <v>31073.33596499986</v>
      </c>
      <c r="F7" s="17">
        <v>0</v>
      </c>
      <c r="G7" s="5">
        <v>0</v>
      </c>
      <c r="H7" s="20">
        <f t="shared" ref="H7:H69" si="10">H6</f>
        <v>3871.8675000000003</v>
      </c>
      <c r="I7" s="14">
        <f t="shared" si="1"/>
        <v>405000</v>
      </c>
      <c r="J7" s="22">
        <f>VLOOKUP(A7,贴主险建议书!A:E,5,0)</f>
        <v>51592</v>
      </c>
      <c r="K7" s="22">
        <f>VLOOKUP(A7,贴主险建议书!A:G,7,0)</f>
        <v>1522</v>
      </c>
      <c r="L7" s="22">
        <f>VLOOKUP(A7,贴主险建议书!A:H,8,0)</f>
        <v>2871</v>
      </c>
      <c r="M7" s="22">
        <f t="shared" si="5"/>
        <v>2871</v>
      </c>
      <c r="N7" s="23">
        <f>VLOOKUP(A7,贴主险建议书!A:O,15,0)</f>
        <v>54562</v>
      </c>
      <c r="O7" s="14">
        <f>O6</f>
        <v>675000</v>
      </c>
      <c r="P7" s="5">
        <f>(O7+Q6)*$Q$3</f>
        <v>20312.276323499998</v>
      </c>
      <c r="Q7" s="20">
        <f t="shared" si="6"/>
        <v>45735.5978235</v>
      </c>
      <c r="R7" s="14">
        <v>0</v>
      </c>
      <c r="S7" s="15">
        <f t="shared" si="7"/>
        <v>0</v>
      </c>
      <c r="T7" s="25">
        <f t="shared" ref="T7:T37" si="11">M7+Q7+H7+S7</f>
        <v>52478.465323500001</v>
      </c>
      <c r="U7" s="18">
        <f t="shared" si="8"/>
        <v>1.6888584277726177</v>
      </c>
      <c r="V7" s="26">
        <f t="shared" si="9"/>
        <v>779169.46532349999</v>
      </c>
      <c r="W7" s="18">
        <f t="shared" si="2"/>
        <v>0.72145320863287032</v>
      </c>
    </row>
    <row r="8" spans="1:23">
      <c r="A8" s="11">
        <v>4</v>
      </c>
      <c r="B8" s="11">
        <f>VLOOKUP(A8,贴主险建议书!A:B,2,0)</f>
        <v>64</v>
      </c>
      <c r="C8" s="17">
        <f t="shared" si="3"/>
        <v>1111073.3359649999</v>
      </c>
      <c r="D8" s="5">
        <f t="shared" si="0"/>
        <v>10555.196691667499</v>
      </c>
      <c r="E8" s="20">
        <f t="shared" si="4"/>
        <v>41628.532656667288</v>
      </c>
      <c r="F8" s="17">
        <v>0</v>
      </c>
      <c r="G8" s="5">
        <v>0</v>
      </c>
      <c r="H8" s="20">
        <f t="shared" si="10"/>
        <v>3871.8675000000003</v>
      </c>
      <c r="I8" s="14">
        <f t="shared" si="1"/>
        <v>540000</v>
      </c>
      <c r="J8" s="22">
        <f>VLOOKUP(A8,贴主险建议书!A:E,5,0)</f>
        <v>85924</v>
      </c>
      <c r="K8" s="22">
        <f>VLOOKUP(A8,贴主险建议书!A:G,7,0)</f>
        <v>2100</v>
      </c>
      <c r="L8" s="22">
        <f>VLOOKUP(A8,贴主险建议书!A:H,8,0)</f>
        <v>4971</v>
      </c>
      <c r="M8" s="22">
        <f t="shared" si="5"/>
        <v>4971</v>
      </c>
      <c r="N8" s="23">
        <f>VLOOKUP(A8,贴主险建议书!A:O,15,0)</f>
        <v>91037</v>
      </c>
      <c r="O8" s="14">
        <f>O7-I5</f>
        <v>540000</v>
      </c>
      <c r="P8" s="5">
        <f>(O8+Q7)*$Q$3-$I$5*1%</f>
        <v>15636.332336881504</v>
      </c>
      <c r="Q8" s="20">
        <f t="shared" si="6"/>
        <v>61371.930160381504</v>
      </c>
      <c r="R8" s="14">
        <v>0</v>
      </c>
      <c r="S8" s="15">
        <f t="shared" si="7"/>
        <v>0</v>
      </c>
      <c r="T8" s="25">
        <f t="shared" si="11"/>
        <v>70214.797660381504</v>
      </c>
      <c r="U8" s="18">
        <f t="shared" si="8"/>
        <v>1.6866988380176737</v>
      </c>
      <c r="V8" s="26">
        <f t="shared" si="9"/>
        <v>696280.79766038153</v>
      </c>
      <c r="W8" s="18">
        <f t="shared" si="2"/>
        <v>0.64470444227813106</v>
      </c>
    </row>
    <row r="9" spans="1:23">
      <c r="A9" s="11">
        <v>5</v>
      </c>
      <c r="B9" s="11">
        <f>VLOOKUP(A9,贴主险建议书!A:B,2,0)</f>
        <v>65</v>
      </c>
      <c r="C9" s="17">
        <f t="shared" si="3"/>
        <v>1121628.5326566673</v>
      </c>
      <c r="D9" s="5">
        <f t="shared" si="0"/>
        <v>10655.471060238338</v>
      </c>
      <c r="E9" s="20">
        <f t="shared" si="4"/>
        <v>52284.003716905601</v>
      </c>
      <c r="F9" s="17">
        <v>0</v>
      </c>
      <c r="G9" s="5">
        <v>0</v>
      </c>
      <c r="H9" s="20">
        <f t="shared" si="10"/>
        <v>3871.8675000000003</v>
      </c>
      <c r="I9" s="14">
        <f t="shared" si="1"/>
        <v>675000</v>
      </c>
      <c r="J9" s="22">
        <f>VLOOKUP(A9,贴主险建议书!A:E,5,0)</f>
        <v>123248</v>
      </c>
      <c r="K9" s="22">
        <f>VLOOKUP(A9,贴主险建议书!A:G,7,0)</f>
        <v>2687</v>
      </c>
      <c r="L9" s="22">
        <f>VLOOKUP(A9,贴主险建议书!A:H,8,0)</f>
        <v>7658</v>
      </c>
      <c r="M9" s="22">
        <f t="shared" si="5"/>
        <v>7658</v>
      </c>
      <c r="N9" s="23">
        <f>VLOOKUP(A9,贴主险建议书!A:O,15,0)</f>
        <v>131143</v>
      </c>
      <c r="O9" s="14">
        <f>O8-I5</f>
        <v>405000</v>
      </c>
      <c r="P9" s="5">
        <f>(O9+Q8)*$Q$3-$I$5*1%</f>
        <v>12174.785974651064</v>
      </c>
      <c r="Q9" s="20">
        <f t="shared" si="6"/>
        <v>73546.716135032562</v>
      </c>
      <c r="R9" s="14">
        <v>0</v>
      </c>
      <c r="S9" s="15">
        <f t="shared" si="7"/>
        <v>0</v>
      </c>
      <c r="T9" s="25">
        <f t="shared" si="11"/>
        <v>85076.583635032555</v>
      </c>
      <c r="U9" s="18">
        <f t="shared" si="8"/>
        <v>1.627201009618239</v>
      </c>
      <c r="V9" s="26">
        <f t="shared" si="9"/>
        <v>613561.58363503264</v>
      </c>
      <c r="W9" s="18">
        <f t="shared" si="2"/>
        <v>0.568112577439845</v>
      </c>
    </row>
    <row r="10" spans="1:23">
      <c r="A10" s="11">
        <v>6</v>
      </c>
      <c r="B10" s="11">
        <f>VLOOKUP(A10,贴主险建议书!A:B,2,0)</f>
        <v>66</v>
      </c>
      <c r="C10" s="17">
        <f t="shared" si="3"/>
        <v>1132284.0037169056</v>
      </c>
      <c r="D10" s="5">
        <f t="shared" si="0"/>
        <v>10756.698035310603</v>
      </c>
      <c r="E10" s="20">
        <f t="shared" si="4"/>
        <v>63040.70175221609</v>
      </c>
      <c r="F10" s="17">
        <v>0</v>
      </c>
      <c r="G10" s="5">
        <v>0</v>
      </c>
      <c r="H10" s="20">
        <f t="shared" si="10"/>
        <v>3871.8675000000003</v>
      </c>
      <c r="I10" s="14">
        <f t="shared" si="1"/>
        <v>810000</v>
      </c>
      <c r="J10" s="22">
        <f>VLOOKUP(A10,贴主险建议书!A:E,5,0)</f>
        <v>163662</v>
      </c>
      <c r="K10" s="22">
        <f>VLOOKUP(A10,贴主险建议书!A:G,7,0)</f>
        <v>3284</v>
      </c>
      <c r="L10" s="22">
        <f>VLOOKUP(A10,贴主险建议书!A:H,8,0)</f>
        <v>10942</v>
      </c>
      <c r="M10" s="22">
        <f t="shared" si="5"/>
        <v>10942</v>
      </c>
      <c r="N10" s="23">
        <f>VLOOKUP(A10,贴主险建议书!A:O,15,0)</f>
        <v>175194</v>
      </c>
      <c r="O10" s="14">
        <f>O9-I5</f>
        <v>270000</v>
      </c>
      <c r="P10" s="5">
        <f>(O10+Q9)*$Q$3+O5*1%</f>
        <v>16712.854767915946</v>
      </c>
      <c r="Q10" s="20">
        <f t="shared" si="6"/>
        <v>90259.570902948501</v>
      </c>
      <c r="R10" s="14">
        <v>0</v>
      </c>
      <c r="S10" s="15">
        <f t="shared" si="7"/>
        <v>0</v>
      </c>
      <c r="T10" s="25">
        <f t="shared" si="11"/>
        <v>105073.43840294849</v>
      </c>
      <c r="U10" s="18">
        <f t="shared" si="8"/>
        <v>1.6667555322582495</v>
      </c>
      <c r="V10" s="26">
        <f t="shared" si="9"/>
        <v>539325.43840294855</v>
      </c>
      <c r="W10" s="18">
        <f t="shared" si="2"/>
        <v>0.49937540592865609</v>
      </c>
    </row>
    <row r="11" spans="1:23">
      <c r="A11" s="11">
        <v>7</v>
      </c>
      <c r="B11" s="11">
        <f>VLOOKUP(A11,贴主险建议书!A:B,2,0)</f>
        <v>67</v>
      </c>
      <c r="C11" s="17">
        <f t="shared" si="3"/>
        <v>1143040.7017522161</v>
      </c>
      <c r="D11" s="5">
        <f t="shared" si="0"/>
        <v>10858.886666646053</v>
      </c>
      <c r="E11" s="20">
        <f t="shared" si="4"/>
        <v>73899.588418862084</v>
      </c>
      <c r="F11" s="17">
        <v>0</v>
      </c>
      <c r="G11" s="5">
        <v>0</v>
      </c>
      <c r="H11" s="20">
        <f t="shared" si="10"/>
        <v>3871.8675000000003</v>
      </c>
      <c r="I11" s="14">
        <f t="shared" si="1"/>
        <v>945000</v>
      </c>
      <c r="J11" s="22">
        <f>VLOOKUP(A11,贴主险建议书!A:E,5,0)</f>
        <v>207325</v>
      </c>
      <c r="K11" s="22">
        <f>VLOOKUP(A11,贴主险建议书!A:G,7,0)</f>
        <v>3890</v>
      </c>
      <c r="L11" s="22">
        <f>VLOOKUP(A11,贴主险建议书!A:H,8,0)</f>
        <v>14831</v>
      </c>
      <c r="M11" s="22">
        <f t="shared" si="5"/>
        <v>14831</v>
      </c>
      <c r="N11" s="23">
        <f>VLOOKUP(A11,贴主险建议书!A:O,15,0)</f>
        <v>223071</v>
      </c>
      <c r="O11" s="14">
        <f>O10-I5</f>
        <v>135000</v>
      </c>
      <c r="P11" s="5">
        <f t="shared" ref="P11:P69" si="12">(O11+Q10)*$Q$3</f>
        <v>6532.5275561855069</v>
      </c>
      <c r="Q11" s="20">
        <f t="shared" si="6"/>
        <v>96792.098459134009</v>
      </c>
      <c r="R11" s="14">
        <v>0</v>
      </c>
      <c r="S11" s="15">
        <f t="shared" si="7"/>
        <v>0</v>
      </c>
      <c r="T11" s="25">
        <f t="shared" si="11"/>
        <v>115494.96595913402</v>
      </c>
      <c r="U11" s="18">
        <f t="shared" si="8"/>
        <v>1.5628634533728358</v>
      </c>
      <c r="V11" s="26">
        <f t="shared" si="9"/>
        <v>458734.96595913399</v>
      </c>
      <c r="W11" s="18">
        <f t="shared" si="2"/>
        <v>0.42475459811030924</v>
      </c>
    </row>
    <row r="12" spans="1:23">
      <c r="A12" s="11">
        <v>8</v>
      </c>
      <c r="B12" s="11">
        <f>VLOOKUP(A12,贴主险建议书!A:B,2,0)</f>
        <v>68</v>
      </c>
      <c r="C12" s="17">
        <f t="shared" si="3"/>
        <v>1153899.5884188621</v>
      </c>
      <c r="D12" s="5">
        <f t="shared" si="0"/>
        <v>10962.046089979189</v>
      </c>
      <c r="E12" s="20">
        <f t="shared" si="4"/>
        <v>84861.634508841205</v>
      </c>
      <c r="F12" s="17">
        <v>0</v>
      </c>
      <c r="G12" s="5">
        <v>0</v>
      </c>
      <c r="H12" s="20">
        <f t="shared" si="10"/>
        <v>3871.8675000000003</v>
      </c>
      <c r="I12" s="14">
        <f t="shared" si="1"/>
        <v>1080000</v>
      </c>
      <c r="J12" s="22">
        <f>VLOOKUP(A12,贴主险建议书!A:E,5,0)</f>
        <v>254299</v>
      </c>
      <c r="K12" s="22">
        <f>VLOOKUP(A12,贴主险建议书!A:G,7,0)</f>
        <v>4505</v>
      </c>
      <c r="L12" s="22">
        <f>VLOOKUP(A12,贴主险建议书!A:H,8,0)</f>
        <v>19337</v>
      </c>
      <c r="M12" s="22">
        <f t="shared" si="5"/>
        <v>19337</v>
      </c>
      <c r="N12" s="23">
        <f>VLOOKUP(A12,贴主险建议书!A:O,15,0)</f>
        <v>274997</v>
      </c>
      <c r="O12" s="14">
        <f t="shared" ref="O12:O69" si="13">$C$5-I12</f>
        <v>0</v>
      </c>
      <c r="P12" s="5">
        <f t="shared" si="12"/>
        <v>2806.9708553148862</v>
      </c>
      <c r="Q12" s="20">
        <f t="shared" si="6"/>
        <v>99599.069314448891</v>
      </c>
      <c r="R12" s="14">
        <v>0</v>
      </c>
      <c r="S12" s="15">
        <f t="shared" si="7"/>
        <v>0</v>
      </c>
      <c r="T12" s="25">
        <f t="shared" si="11"/>
        <v>122807.93681444888</v>
      </c>
      <c r="U12" s="18">
        <f t="shared" si="8"/>
        <v>1.4471549779265009</v>
      </c>
      <c r="V12" s="26">
        <f t="shared" si="9"/>
        <v>378467.93681444885</v>
      </c>
      <c r="W12" s="18">
        <f t="shared" si="2"/>
        <v>0.35043327482819336</v>
      </c>
    </row>
    <row r="13" spans="1:23">
      <c r="A13" s="11">
        <v>9</v>
      </c>
      <c r="B13" s="11">
        <f>VLOOKUP(A13,贴主险建议书!A:B,2,0)</f>
        <v>69</v>
      </c>
      <c r="C13" s="17">
        <f t="shared" si="3"/>
        <v>1164861.6345088412</v>
      </c>
      <c r="D13" s="5">
        <f t="shared" si="0"/>
        <v>11066.185527833992</v>
      </c>
      <c r="E13" s="20">
        <f t="shared" si="4"/>
        <v>95927.820036675083</v>
      </c>
      <c r="F13" s="17">
        <v>0</v>
      </c>
      <c r="G13" s="5">
        <v>0</v>
      </c>
      <c r="H13" s="20">
        <f t="shared" si="10"/>
        <v>3871.8675000000003</v>
      </c>
      <c r="I13" s="14">
        <f t="shared" si="1"/>
        <v>1080000</v>
      </c>
      <c r="J13" s="22">
        <f>VLOOKUP(A13,贴主险建议书!A:E,5,0)</f>
        <v>262707</v>
      </c>
      <c r="K13" s="22">
        <f>VLOOKUP(A13,贴主险建议书!A:G,7,0)</f>
        <v>4578</v>
      </c>
      <c r="L13" s="22">
        <f>VLOOKUP(A13,贴主险建议书!A:H,8,0)</f>
        <v>23914</v>
      </c>
      <c r="M13" s="22">
        <f t="shared" si="5"/>
        <v>23914</v>
      </c>
      <c r="N13" s="23">
        <f>VLOOKUP(A13,贴主险建议书!A:O,15,0)</f>
        <v>288573</v>
      </c>
      <c r="O13" s="14">
        <f t="shared" si="13"/>
        <v>0</v>
      </c>
      <c r="P13" s="5">
        <f t="shared" si="12"/>
        <v>2888.3730101190181</v>
      </c>
      <c r="Q13" s="20">
        <f t="shared" si="6"/>
        <v>102487.44232456791</v>
      </c>
      <c r="R13" s="14">
        <v>0</v>
      </c>
      <c r="S13" s="15">
        <f t="shared" si="7"/>
        <v>0</v>
      </c>
      <c r="T13" s="25">
        <f t="shared" si="11"/>
        <v>130273.3098245679</v>
      </c>
      <c r="U13" s="18">
        <f t="shared" si="8"/>
        <v>1.3580347158390742</v>
      </c>
      <c r="V13" s="26">
        <f t="shared" si="9"/>
        <v>394932.30982456793</v>
      </c>
      <c r="W13" s="18">
        <f t="shared" si="2"/>
        <v>0.36567806465237773</v>
      </c>
    </row>
    <row r="14" spans="1:23">
      <c r="A14" s="11">
        <v>10</v>
      </c>
      <c r="B14" s="11">
        <f>VLOOKUP(A14,贴主险建议书!A:B,2,0)</f>
        <v>70</v>
      </c>
      <c r="C14" s="17">
        <f t="shared" si="3"/>
        <v>1175927.8200366751</v>
      </c>
      <c r="D14" s="5">
        <f t="shared" si="0"/>
        <v>11171.314290348413</v>
      </c>
      <c r="E14" s="20">
        <f t="shared" si="4"/>
        <v>107099.13432702352</v>
      </c>
      <c r="F14" s="17">
        <v>0</v>
      </c>
      <c r="G14" s="5">
        <v>0</v>
      </c>
      <c r="H14" s="20">
        <f t="shared" si="10"/>
        <v>3871.8675000000003</v>
      </c>
      <c r="I14" s="14">
        <f t="shared" si="1"/>
        <v>1080000</v>
      </c>
      <c r="J14" s="22">
        <f>VLOOKUP(A14,贴主险建议书!A:E,5,0)</f>
        <v>384713</v>
      </c>
      <c r="K14" s="22">
        <f>VLOOKUP(A14,贴主险建议书!A:G,7,0)</f>
        <v>4651</v>
      </c>
      <c r="L14" s="22">
        <f>VLOOKUP(A14,贴主险建议书!A:H,8,0)</f>
        <v>28565</v>
      </c>
      <c r="M14" s="22">
        <f t="shared" si="5"/>
        <v>28565</v>
      </c>
      <c r="N14" s="23">
        <f>VLOOKUP(A14,贴主险建议书!A:O,15,0)</f>
        <v>415969</v>
      </c>
      <c r="O14" s="14">
        <f t="shared" si="13"/>
        <v>0</v>
      </c>
      <c r="P14" s="5">
        <f t="shared" si="12"/>
        <v>2972.1358274124696</v>
      </c>
      <c r="Q14" s="20">
        <f t="shared" si="6"/>
        <v>105459.57815198037</v>
      </c>
      <c r="R14" s="14">
        <v>0</v>
      </c>
      <c r="S14" s="15">
        <f t="shared" si="7"/>
        <v>0</v>
      </c>
      <c r="T14" s="25">
        <f t="shared" si="11"/>
        <v>137896.44565198035</v>
      </c>
      <c r="U14" s="18">
        <f t="shared" si="8"/>
        <v>1.2875589192991821</v>
      </c>
      <c r="V14" s="26">
        <f t="shared" si="9"/>
        <v>525300.44565198035</v>
      </c>
      <c r="W14" s="18">
        <f t="shared" si="2"/>
        <v>0.48638930152961146</v>
      </c>
    </row>
    <row r="15" spans="1:23">
      <c r="A15" s="11">
        <v>11</v>
      </c>
      <c r="B15" s="11">
        <f>VLOOKUP(A15,贴主险建议书!A:B,2,0)</f>
        <v>71</v>
      </c>
      <c r="C15" s="17">
        <f t="shared" si="3"/>
        <v>1187099.1343270235</v>
      </c>
      <c r="D15" s="5">
        <f t="shared" si="0"/>
        <v>11277.441776106723</v>
      </c>
      <c r="E15" s="20">
        <f t="shared" si="4"/>
        <v>118376.57610313036</v>
      </c>
      <c r="F15" s="17">
        <v>0</v>
      </c>
      <c r="G15" s="5">
        <v>0</v>
      </c>
      <c r="H15" s="20">
        <f t="shared" si="10"/>
        <v>3871.8675000000003</v>
      </c>
      <c r="I15" s="14">
        <f t="shared" si="1"/>
        <v>1080000</v>
      </c>
      <c r="J15" s="22">
        <f>VLOOKUP(A15,贴主险建议书!A:E,5,0)</f>
        <v>390828</v>
      </c>
      <c r="K15" s="22">
        <f>VLOOKUP(A15,贴主险建议书!A:G,7,0)</f>
        <v>4724</v>
      </c>
      <c r="L15" s="22">
        <f>VLOOKUP(A15,贴主险建议书!A:H,8,0)</f>
        <v>33290</v>
      </c>
      <c r="M15" s="22">
        <f t="shared" si="5"/>
        <v>33290</v>
      </c>
      <c r="N15" s="23">
        <f>VLOOKUP(A15,贴主险建议书!A:O,15,0)</f>
        <v>427702</v>
      </c>
      <c r="O15" s="14">
        <f t="shared" si="13"/>
        <v>0</v>
      </c>
      <c r="P15" s="5">
        <f t="shared" si="12"/>
        <v>3058.3277664074308</v>
      </c>
      <c r="Q15" s="20">
        <f t="shared" si="6"/>
        <v>108517.9059183878</v>
      </c>
      <c r="R15" s="14">
        <v>0</v>
      </c>
      <c r="S15" s="15">
        <f t="shared" si="7"/>
        <v>0</v>
      </c>
      <c r="T15" s="25">
        <f t="shared" si="11"/>
        <v>145679.77341838781</v>
      </c>
      <c r="U15" s="18">
        <f t="shared" si="8"/>
        <v>1.2306469591709659</v>
      </c>
      <c r="V15" s="26">
        <f t="shared" si="9"/>
        <v>540091.77341838786</v>
      </c>
      <c r="W15" s="18">
        <f t="shared" si="2"/>
        <v>0.50008497538739616</v>
      </c>
    </row>
    <row r="16" spans="1:23">
      <c r="A16" s="11">
        <v>12</v>
      </c>
      <c r="B16" s="11">
        <f>VLOOKUP(A16,贴主险建议书!A:B,2,0)</f>
        <v>72</v>
      </c>
      <c r="C16" s="17">
        <f t="shared" si="3"/>
        <v>1198376.5761031304</v>
      </c>
      <c r="D16" s="5">
        <f t="shared" si="0"/>
        <v>11384.577472979738</v>
      </c>
      <c r="E16" s="20">
        <f t="shared" si="4"/>
        <v>129761.15357611002</v>
      </c>
      <c r="F16" s="17">
        <v>0</v>
      </c>
      <c r="G16" s="5">
        <v>0</v>
      </c>
      <c r="H16" s="20">
        <f t="shared" si="10"/>
        <v>3871.8675000000003</v>
      </c>
      <c r="I16" s="14">
        <f t="shared" si="1"/>
        <v>1080000</v>
      </c>
      <c r="J16" s="22">
        <f>VLOOKUP(A16,贴主险建议书!A:E,5,0)</f>
        <v>397038</v>
      </c>
      <c r="K16" s="22">
        <f>VLOOKUP(A16,贴主险建议书!A:G,7,0)</f>
        <v>4799</v>
      </c>
      <c r="L16" s="22">
        <f>VLOOKUP(A16,贴主险建议书!A:H,8,0)</f>
        <v>38088</v>
      </c>
      <c r="M16" s="22">
        <f t="shared" si="5"/>
        <v>38088</v>
      </c>
      <c r="N16" s="23">
        <f>VLOOKUP(A16,贴主险建议书!A:O,15,0)</f>
        <v>439767</v>
      </c>
      <c r="O16" s="14">
        <f t="shared" si="13"/>
        <v>0</v>
      </c>
      <c r="P16" s="5">
        <f t="shared" si="12"/>
        <v>3147.0192716332463</v>
      </c>
      <c r="Q16" s="20">
        <f t="shared" si="6"/>
        <v>111664.92519002105</v>
      </c>
      <c r="R16" s="14">
        <v>0</v>
      </c>
      <c r="S16" s="15">
        <f t="shared" si="7"/>
        <v>0</v>
      </c>
      <c r="T16" s="25">
        <f t="shared" si="11"/>
        <v>153624.79269002104</v>
      </c>
      <c r="U16" s="18">
        <f t="shared" si="8"/>
        <v>1.1839043385192631</v>
      </c>
      <c r="V16" s="26">
        <f t="shared" si="9"/>
        <v>555303.7926900211</v>
      </c>
      <c r="W16" s="18">
        <f t="shared" si="2"/>
        <v>0.51417017841668622</v>
      </c>
    </row>
    <row r="17" spans="1:23">
      <c r="A17" s="11">
        <v>13</v>
      </c>
      <c r="B17" s="11">
        <f>VLOOKUP(A17,贴主险建议书!A:B,2,0)</f>
        <v>73</v>
      </c>
      <c r="C17" s="17">
        <f t="shared" si="3"/>
        <v>1209761.15357611</v>
      </c>
      <c r="D17" s="5">
        <f t="shared" si="0"/>
        <v>11492.730958973045</v>
      </c>
      <c r="E17" s="20">
        <f t="shared" si="4"/>
        <v>141253.88453508308</v>
      </c>
      <c r="F17" s="17">
        <v>0</v>
      </c>
      <c r="G17" s="5">
        <v>0</v>
      </c>
      <c r="H17" s="20">
        <f t="shared" si="10"/>
        <v>3871.8675000000003</v>
      </c>
      <c r="I17" s="14">
        <f t="shared" si="1"/>
        <v>1080000</v>
      </c>
      <c r="J17" s="22">
        <f>VLOOKUP(A17,贴主险建议书!A:E,5,0)</f>
        <v>403280</v>
      </c>
      <c r="K17" s="22">
        <f>VLOOKUP(A17,贴主险建议书!A:G,7,0)</f>
        <v>4874</v>
      </c>
      <c r="L17" s="22">
        <f>VLOOKUP(A17,贴主险建议书!A:H,8,0)</f>
        <v>42963</v>
      </c>
      <c r="M17" s="22">
        <f t="shared" si="5"/>
        <v>42963</v>
      </c>
      <c r="N17" s="23">
        <f>VLOOKUP(A17,贴主险建议书!A:O,15,0)</f>
        <v>452112</v>
      </c>
      <c r="O17" s="14">
        <f t="shared" si="13"/>
        <v>0</v>
      </c>
      <c r="P17" s="5">
        <f t="shared" si="12"/>
        <v>3238.2828305106104</v>
      </c>
      <c r="Q17" s="20">
        <f t="shared" si="6"/>
        <v>114903.20802053166</v>
      </c>
      <c r="R17" s="14">
        <v>0</v>
      </c>
      <c r="S17" s="15">
        <f t="shared" si="7"/>
        <v>0</v>
      </c>
      <c r="T17" s="25">
        <f t="shared" si="11"/>
        <v>161738.07552053165</v>
      </c>
      <c r="U17" s="18">
        <f t="shared" si="8"/>
        <v>1.1450168330086592</v>
      </c>
      <c r="V17" s="26">
        <f t="shared" si="9"/>
        <v>570887.07552053174</v>
      </c>
      <c r="W17" s="18">
        <f t="shared" si="2"/>
        <v>0.52859914400049235</v>
      </c>
    </row>
    <row r="18" spans="1:23">
      <c r="A18" s="11">
        <v>14</v>
      </c>
      <c r="B18" s="11">
        <f>VLOOKUP(A18,贴主险建议书!A:B,2,0)</f>
        <v>74</v>
      </c>
      <c r="C18" s="17">
        <f t="shared" si="3"/>
        <v>1221253.8845350831</v>
      </c>
      <c r="D18" s="5">
        <f t="shared" si="0"/>
        <v>11601.91190308329</v>
      </c>
      <c r="E18" s="20">
        <f t="shared" si="4"/>
        <v>152855.79643816641</v>
      </c>
      <c r="F18" s="17">
        <v>0</v>
      </c>
      <c r="G18" s="5">
        <v>0</v>
      </c>
      <c r="H18" s="20">
        <f t="shared" si="10"/>
        <v>3871.8675000000003</v>
      </c>
      <c r="I18" s="14">
        <f t="shared" si="1"/>
        <v>1080000</v>
      </c>
      <c r="J18" s="22">
        <f>VLOOKUP(A18,贴主险建议书!A:E,5,0)</f>
        <v>409554</v>
      </c>
      <c r="K18" s="22">
        <f>VLOOKUP(A18,贴主险建议书!A:G,7,0)</f>
        <v>4950</v>
      </c>
      <c r="L18" s="22">
        <f>VLOOKUP(A18,贴主险建议书!A:H,8,0)</f>
        <v>47912</v>
      </c>
      <c r="M18" s="22">
        <f t="shared" si="5"/>
        <v>47912</v>
      </c>
      <c r="N18" s="23">
        <f>VLOOKUP(A18,贴主险建议书!A:O,15,0)</f>
        <v>464747</v>
      </c>
      <c r="O18" s="14">
        <f t="shared" si="13"/>
        <v>0</v>
      </c>
      <c r="P18" s="5">
        <f t="shared" si="12"/>
        <v>3332.1930325954181</v>
      </c>
      <c r="Q18" s="20">
        <f t="shared" si="6"/>
        <v>118235.40105312708</v>
      </c>
      <c r="R18" s="14">
        <v>0</v>
      </c>
      <c r="S18" s="15">
        <f t="shared" si="7"/>
        <v>0</v>
      </c>
      <c r="T18" s="25">
        <f t="shared" si="11"/>
        <v>170019.26855312707</v>
      </c>
      <c r="U18" s="18">
        <f t="shared" si="8"/>
        <v>1.112285386062567</v>
      </c>
      <c r="V18" s="26">
        <f t="shared" si="9"/>
        <v>586854.26855312719</v>
      </c>
      <c r="W18" s="18">
        <f t="shared" si="2"/>
        <v>0.54338358199363623</v>
      </c>
    </row>
    <row r="19" spans="1:23">
      <c r="A19" s="11">
        <v>15</v>
      </c>
      <c r="B19" s="11">
        <f>VLOOKUP(A19,贴主险建议书!A:B,2,0)</f>
        <v>75</v>
      </c>
      <c r="C19" s="17">
        <f t="shared" si="3"/>
        <v>1232855.7964381664</v>
      </c>
      <c r="D19" s="5">
        <f t="shared" si="0"/>
        <v>11712.130066162581</v>
      </c>
      <c r="E19" s="20">
        <f t="shared" si="4"/>
        <v>164567.92650432908</v>
      </c>
      <c r="F19" s="17">
        <v>0</v>
      </c>
      <c r="G19" s="5">
        <v>0</v>
      </c>
      <c r="H19" s="20">
        <f t="shared" si="10"/>
        <v>3871.8675000000003</v>
      </c>
      <c r="I19" s="14">
        <f t="shared" si="1"/>
        <v>1080000</v>
      </c>
      <c r="J19" s="22">
        <f>VLOOKUP(A19,贴主险建议书!A:E,5,0)</f>
        <v>415924</v>
      </c>
      <c r="K19" s="22">
        <f>VLOOKUP(A19,贴主险建议书!A:G,7,0)</f>
        <v>5026</v>
      </c>
      <c r="L19" s="22">
        <f>VLOOKUP(A19,贴主险建议书!A:H,8,0)</f>
        <v>52939</v>
      </c>
      <c r="M19" s="22">
        <f t="shared" si="5"/>
        <v>52939</v>
      </c>
      <c r="N19" s="23">
        <f>VLOOKUP(A19,贴主险建议书!A:O,15,0)</f>
        <v>477752</v>
      </c>
      <c r="O19" s="14">
        <f t="shared" si="13"/>
        <v>0</v>
      </c>
      <c r="P19" s="5">
        <f t="shared" si="12"/>
        <v>3428.8266305406855</v>
      </c>
      <c r="Q19" s="20">
        <f t="shared" si="6"/>
        <v>121664.22768366776</v>
      </c>
      <c r="R19" s="14">
        <v>0</v>
      </c>
      <c r="S19" s="15">
        <f t="shared" si="7"/>
        <v>0</v>
      </c>
      <c r="T19" s="25">
        <f t="shared" si="11"/>
        <v>178475.09518366776</v>
      </c>
      <c r="U19" s="18">
        <f t="shared" si="8"/>
        <v>1.0845071635448529</v>
      </c>
      <c r="V19" s="26">
        <f t="shared" si="9"/>
        <v>603288.09518366784</v>
      </c>
      <c r="W19" s="18">
        <f t="shared" si="2"/>
        <v>0.55860008813302575</v>
      </c>
    </row>
    <row r="20" spans="1:23">
      <c r="A20" s="11">
        <v>16</v>
      </c>
      <c r="B20" s="11">
        <f>VLOOKUP(A20,贴主险建议书!A:B,2,0)</f>
        <v>76</v>
      </c>
      <c r="C20" s="17">
        <f t="shared" si="3"/>
        <v>1244567.9265043291</v>
      </c>
      <c r="D20" s="5">
        <f t="shared" si="0"/>
        <v>11823.395301791126</v>
      </c>
      <c r="E20" s="20">
        <f t="shared" si="4"/>
        <v>176391.32180612022</v>
      </c>
      <c r="F20" s="17">
        <v>0</v>
      </c>
      <c r="G20" s="5">
        <v>0</v>
      </c>
      <c r="H20" s="20">
        <f t="shared" si="10"/>
        <v>3871.8675000000003</v>
      </c>
      <c r="I20" s="14">
        <f t="shared" si="1"/>
        <v>1080000</v>
      </c>
      <c r="J20" s="22">
        <f>VLOOKUP(A20,贴主险建议书!A:E,5,0)</f>
        <v>422357</v>
      </c>
      <c r="K20" s="22">
        <f>VLOOKUP(A20,贴主险建议书!A:G,7,0)</f>
        <v>5103</v>
      </c>
      <c r="L20" s="22">
        <f>VLOOKUP(A20,贴主险建议书!A:H,8,0)</f>
        <v>58042</v>
      </c>
      <c r="M20" s="22">
        <f t="shared" si="5"/>
        <v>58042</v>
      </c>
      <c r="N20" s="23">
        <f>VLOOKUP(A20,贴主险建议书!A:O,15,0)</f>
        <v>491112</v>
      </c>
      <c r="O20" s="14">
        <f t="shared" si="13"/>
        <v>0</v>
      </c>
      <c r="P20" s="5">
        <f t="shared" si="12"/>
        <v>3528.2626028263653</v>
      </c>
      <c r="Q20" s="20">
        <f t="shared" si="6"/>
        <v>125192.49028649413</v>
      </c>
      <c r="R20" s="14">
        <v>0</v>
      </c>
      <c r="S20" s="15">
        <f t="shared" si="7"/>
        <v>0</v>
      </c>
      <c r="T20" s="25">
        <f t="shared" si="11"/>
        <v>187106.35778649413</v>
      </c>
      <c r="U20" s="18">
        <f t="shared" si="8"/>
        <v>1.0607458228140685</v>
      </c>
      <c r="V20" s="26">
        <f t="shared" si="9"/>
        <v>620176.35778649419</v>
      </c>
      <c r="W20" s="18">
        <f t="shared" si="2"/>
        <v>0.57423736832082795</v>
      </c>
    </row>
    <row r="21" spans="1:23">
      <c r="A21" s="11">
        <v>17</v>
      </c>
      <c r="B21" s="11">
        <f>VLOOKUP(A21,贴主险建议书!A:B,2,0)</f>
        <v>77</v>
      </c>
      <c r="C21" s="17">
        <f t="shared" si="3"/>
        <v>1256391.3218061202</v>
      </c>
      <c r="D21" s="5">
        <f t="shared" si="0"/>
        <v>11935.717557158141</v>
      </c>
      <c r="E21" s="20">
        <f t="shared" si="4"/>
        <v>188327.03936327831</v>
      </c>
      <c r="F21" s="17">
        <v>0</v>
      </c>
      <c r="G21" s="5">
        <v>0</v>
      </c>
      <c r="H21" s="20">
        <f t="shared" si="10"/>
        <v>3871.8675000000003</v>
      </c>
      <c r="I21" s="14">
        <f t="shared" si="1"/>
        <v>1080000</v>
      </c>
      <c r="J21" s="22">
        <f>VLOOKUP(A21,贴主险建议书!A:E,5,0)</f>
        <v>428854</v>
      </c>
      <c r="K21" s="22">
        <f>VLOOKUP(A21,贴主险建议书!A:G,7,0)</f>
        <v>5181</v>
      </c>
      <c r="L21" s="22">
        <f>VLOOKUP(A21,贴主险建议书!A:H,8,0)</f>
        <v>63223</v>
      </c>
      <c r="M21" s="22">
        <f t="shared" si="5"/>
        <v>63223</v>
      </c>
      <c r="N21" s="23">
        <f>VLOOKUP(A21,贴主险建议书!A:O,15,0)</f>
        <v>504842</v>
      </c>
      <c r="O21" s="14">
        <f t="shared" si="13"/>
        <v>0</v>
      </c>
      <c r="P21" s="5">
        <f t="shared" si="12"/>
        <v>3630.5822183083296</v>
      </c>
      <c r="Q21" s="20">
        <f t="shared" si="6"/>
        <v>128823.07250480246</v>
      </c>
      <c r="R21" s="14">
        <v>0</v>
      </c>
      <c r="S21" s="15">
        <f t="shared" si="7"/>
        <v>0</v>
      </c>
      <c r="T21" s="25">
        <f t="shared" si="11"/>
        <v>195917.94000480245</v>
      </c>
      <c r="U21" s="18">
        <f t="shared" si="8"/>
        <v>1.0403070141557393</v>
      </c>
      <c r="V21" s="26">
        <f t="shared" si="9"/>
        <v>637536.94000480254</v>
      </c>
      <c r="W21" s="18">
        <f t="shared" si="2"/>
        <v>0.59031198148592823</v>
      </c>
    </row>
    <row r="22" spans="1:23">
      <c r="A22" s="11">
        <v>18</v>
      </c>
      <c r="B22" s="11">
        <f>VLOOKUP(A22,贴主险建议书!A:B,2,0)</f>
        <v>78</v>
      </c>
      <c r="C22" s="17">
        <f t="shared" si="3"/>
        <v>1268327.0393632783</v>
      </c>
      <c r="D22" s="5">
        <f t="shared" si="0"/>
        <v>12049.106873951143</v>
      </c>
      <c r="E22" s="20">
        <f t="shared" si="4"/>
        <v>200376.14623722946</v>
      </c>
      <c r="F22" s="17">
        <v>0</v>
      </c>
      <c r="G22" s="5">
        <v>0</v>
      </c>
      <c r="H22" s="20">
        <f t="shared" si="10"/>
        <v>3871.8675000000003</v>
      </c>
      <c r="I22" s="14">
        <f t="shared" si="1"/>
        <v>1080000</v>
      </c>
      <c r="J22" s="22">
        <f>VLOOKUP(A22,贴主险建议书!A:E,5,0)</f>
        <v>435446</v>
      </c>
      <c r="K22" s="22">
        <f>VLOOKUP(A22,贴主险建议书!A:G,7,0)</f>
        <v>5260</v>
      </c>
      <c r="L22" s="22">
        <f>VLOOKUP(A22,贴主险建议书!A:H,8,0)</f>
        <v>68483</v>
      </c>
      <c r="M22" s="22">
        <f t="shared" si="5"/>
        <v>68483</v>
      </c>
      <c r="N22" s="23">
        <f>VLOOKUP(A22,贴主险建议书!A:O,15,0)</f>
        <v>518973</v>
      </c>
      <c r="O22" s="14">
        <f t="shared" si="13"/>
        <v>0</v>
      </c>
      <c r="P22" s="5">
        <f t="shared" si="12"/>
        <v>3735.8691026392717</v>
      </c>
      <c r="Q22" s="20">
        <f t="shared" si="6"/>
        <v>132558.94160744172</v>
      </c>
      <c r="R22" s="14">
        <v>0</v>
      </c>
      <c r="S22" s="15">
        <f t="shared" si="7"/>
        <v>0</v>
      </c>
      <c r="T22" s="25">
        <f t="shared" si="11"/>
        <v>204913.80910744172</v>
      </c>
      <c r="U22" s="18">
        <f t="shared" si="8"/>
        <v>1.0226457238320175</v>
      </c>
      <c r="V22" s="26">
        <f t="shared" si="9"/>
        <v>655403.8091074418</v>
      </c>
      <c r="W22" s="18">
        <f t="shared" si="2"/>
        <v>0.60685537880318685</v>
      </c>
    </row>
    <row r="23" spans="1:23">
      <c r="A23" s="11">
        <v>19</v>
      </c>
      <c r="B23" s="11">
        <f>VLOOKUP(A23,贴主险建议书!A:B,2,0)</f>
        <v>79</v>
      </c>
      <c r="C23" s="17">
        <f t="shared" si="3"/>
        <v>1280376.1462372295</v>
      </c>
      <c r="D23" s="5">
        <f t="shared" si="0"/>
        <v>12163.573389253679</v>
      </c>
      <c r="E23" s="20">
        <f t="shared" si="4"/>
        <v>212539.71962648304</v>
      </c>
      <c r="F23" s="17">
        <v>0</v>
      </c>
      <c r="G23" s="5">
        <v>0</v>
      </c>
      <c r="H23" s="20">
        <f t="shared" si="10"/>
        <v>3871.8675000000003</v>
      </c>
      <c r="I23" s="14">
        <f t="shared" si="1"/>
        <v>1080000</v>
      </c>
      <c r="J23" s="22">
        <f>VLOOKUP(A23,贴主险建议书!A:E,5,0)</f>
        <v>442134</v>
      </c>
      <c r="K23" s="22">
        <f>VLOOKUP(A23,贴主险建议书!A:G,7,0)</f>
        <v>5339</v>
      </c>
      <c r="L23" s="22">
        <f>VLOOKUP(A23,贴主险建议书!A:H,8,0)</f>
        <v>73822</v>
      </c>
      <c r="M23" s="22">
        <f t="shared" si="5"/>
        <v>73822</v>
      </c>
      <c r="N23" s="23">
        <f>VLOOKUP(A23,贴主险建议书!A:O,15,0)</f>
        <v>533505</v>
      </c>
      <c r="O23" s="14">
        <f t="shared" si="13"/>
        <v>0</v>
      </c>
      <c r="P23" s="5">
        <f t="shared" si="12"/>
        <v>3844.2093066158104</v>
      </c>
      <c r="Q23" s="20">
        <f t="shared" si="6"/>
        <v>136403.15091405754</v>
      </c>
      <c r="R23" s="14">
        <v>0</v>
      </c>
      <c r="S23" s="15">
        <f t="shared" si="7"/>
        <v>0</v>
      </c>
      <c r="T23" s="25">
        <f t="shared" si="11"/>
        <v>214097.01841405753</v>
      </c>
      <c r="U23" s="18">
        <f t="shared" si="8"/>
        <v>1.0073270953321631</v>
      </c>
      <c r="V23" s="26">
        <f t="shared" si="9"/>
        <v>673780.01841405756</v>
      </c>
      <c r="W23" s="18">
        <f t="shared" si="2"/>
        <v>0.62387038742042367</v>
      </c>
    </row>
    <row r="24" spans="1:23">
      <c r="A24" s="11">
        <v>20</v>
      </c>
      <c r="B24" s="11">
        <f>VLOOKUP(A24,贴主险建议书!A:B,2,0)</f>
        <v>80</v>
      </c>
      <c r="C24" s="17">
        <f t="shared" si="3"/>
        <v>1292539.719626483</v>
      </c>
      <c r="D24" s="5">
        <f t="shared" si="0"/>
        <v>12279.127336451589</v>
      </c>
      <c r="E24" s="20">
        <f t="shared" si="4"/>
        <v>224818.84696293459</v>
      </c>
      <c r="F24" s="17">
        <v>0</v>
      </c>
      <c r="G24" s="5">
        <v>0</v>
      </c>
      <c r="H24" s="20">
        <f t="shared" si="10"/>
        <v>3871.8675000000003</v>
      </c>
      <c r="I24" s="14">
        <f t="shared" si="1"/>
        <v>1080000</v>
      </c>
      <c r="J24" s="22">
        <f>VLOOKUP(A24,贴主险建议书!A:E,5,0)</f>
        <v>448981</v>
      </c>
      <c r="K24" s="22">
        <f>VLOOKUP(A24,贴主险建议书!A:G,7,0)</f>
        <v>5420</v>
      </c>
      <c r="L24" s="22">
        <f>VLOOKUP(A24,贴主险建议书!A:H,8,0)</f>
        <v>79243</v>
      </c>
      <c r="M24" s="22">
        <f t="shared" si="5"/>
        <v>79243</v>
      </c>
      <c r="N24" s="23">
        <f>VLOOKUP(A24,贴主险建议书!A:O,15,0)</f>
        <v>548513</v>
      </c>
      <c r="O24" s="14">
        <f t="shared" si="13"/>
        <v>0</v>
      </c>
      <c r="P24" s="5">
        <f t="shared" si="12"/>
        <v>3955.6913765076688</v>
      </c>
      <c r="Q24" s="20">
        <f t="shared" si="6"/>
        <v>140358.8422905652</v>
      </c>
      <c r="R24" s="14">
        <v>0</v>
      </c>
      <c r="S24" s="15">
        <f t="shared" si="7"/>
        <v>0</v>
      </c>
      <c r="T24" s="25">
        <f t="shared" si="11"/>
        <v>223473.70979056519</v>
      </c>
      <c r="U24" s="18">
        <f t="shared" si="8"/>
        <v>0.9940167953419351</v>
      </c>
      <c r="V24" s="26">
        <f t="shared" si="9"/>
        <v>692743.70979056519</v>
      </c>
      <c r="W24" s="18">
        <f t="shared" si="2"/>
        <v>0.64142936091718994</v>
      </c>
    </row>
    <row r="25" spans="1:23">
      <c r="A25" s="11">
        <v>21</v>
      </c>
      <c r="B25" s="11">
        <f>VLOOKUP(A25,贴主险建议书!A:B,2,0)</f>
        <v>81</v>
      </c>
      <c r="C25" s="17">
        <f t="shared" si="3"/>
        <v>1304818.8469629346</v>
      </c>
      <c r="D25" s="5">
        <f t="shared" si="0"/>
        <v>12395.779046147878</v>
      </c>
      <c r="E25" s="20">
        <f t="shared" si="4"/>
        <v>237214.62600908242</v>
      </c>
      <c r="F25" s="17">
        <v>0</v>
      </c>
      <c r="G25" s="5">
        <v>0</v>
      </c>
      <c r="H25" s="20">
        <f t="shared" si="10"/>
        <v>3871.8675000000003</v>
      </c>
      <c r="I25" s="14">
        <f t="shared" si="1"/>
        <v>1080000</v>
      </c>
      <c r="J25" s="22">
        <f>VLOOKUP(A25,贴主险建议书!A:E,5,0)</f>
        <v>456019</v>
      </c>
      <c r="K25" s="22">
        <f>VLOOKUP(A25,贴主险建议书!A:G,7,0)</f>
        <v>5503</v>
      </c>
      <c r="L25" s="22">
        <f>VLOOKUP(A25,贴主险建议书!A:H,8,0)</f>
        <v>84746</v>
      </c>
      <c r="M25" s="22">
        <f t="shared" si="5"/>
        <v>84746</v>
      </c>
      <c r="N25" s="23">
        <f>VLOOKUP(A25,贴主险建议书!A:O,15,0)</f>
        <v>564039</v>
      </c>
      <c r="O25" s="14">
        <f t="shared" si="13"/>
        <v>0</v>
      </c>
      <c r="P25" s="5">
        <f t="shared" si="12"/>
        <v>4070.4064264263911</v>
      </c>
      <c r="Q25" s="20">
        <f t="shared" si="6"/>
        <v>144429.2487169916</v>
      </c>
      <c r="R25" s="14">
        <v>0</v>
      </c>
      <c r="S25" s="15">
        <f t="shared" si="7"/>
        <v>0</v>
      </c>
      <c r="T25" s="25">
        <f t="shared" si="11"/>
        <v>233047.11621699159</v>
      </c>
      <c r="U25" s="18">
        <f t="shared" si="8"/>
        <v>0.98243148046052076</v>
      </c>
      <c r="V25" s="26">
        <f t="shared" si="9"/>
        <v>712340.11621699168</v>
      </c>
      <c r="W25" s="18">
        <f t="shared" si="2"/>
        <v>0.65957418168239967</v>
      </c>
    </row>
    <row r="26" spans="1:23">
      <c r="A26" s="11">
        <v>22</v>
      </c>
      <c r="B26" s="11">
        <f>VLOOKUP(A26,贴主险建议书!A:B,2,0)</f>
        <v>82</v>
      </c>
      <c r="C26" s="17">
        <f t="shared" si="3"/>
        <v>1317214.6260090824</v>
      </c>
      <c r="D26" s="5">
        <f t="shared" si="0"/>
        <v>12513.538947086283</v>
      </c>
      <c r="E26" s="20">
        <f t="shared" si="4"/>
        <v>249728.16495616874</v>
      </c>
      <c r="F26" s="17">
        <v>0</v>
      </c>
      <c r="G26" s="5">
        <v>0</v>
      </c>
      <c r="H26" s="20">
        <f t="shared" si="10"/>
        <v>3871.8675000000003</v>
      </c>
      <c r="I26" s="14">
        <f t="shared" si="1"/>
        <v>1080000</v>
      </c>
      <c r="J26" s="22">
        <f>VLOOKUP(A26,贴主险建议书!A:E,5,0)</f>
        <v>463280</v>
      </c>
      <c r="K26" s="22">
        <f>VLOOKUP(A26,贴主险建议书!A:G,7,0)</f>
        <v>5588</v>
      </c>
      <c r="L26" s="22">
        <f>VLOOKUP(A26,贴主险建议书!A:H,8,0)</f>
        <v>90334</v>
      </c>
      <c r="M26" s="22">
        <f t="shared" si="5"/>
        <v>90334</v>
      </c>
      <c r="N26" s="23">
        <f>VLOOKUP(A26,贴主险建议书!A:O,15,0)</f>
        <v>580128</v>
      </c>
      <c r="O26" s="14">
        <f t="shared" si="13"/>
        <v>0</v>
      </c>
      <c r="P26" s="5">
        <f t="shared" si="12"/>
        <v>4188.4482127927567</v>
      </c>
      <c r="Q26" s="20">
        <f t="shared" si="6"/>
        <v>148617.69692978435</v>
      </c>
      <c r="R26" s="14">
        <v>0</v>
      </c>
      <c r="S26" s="15">
        <f t="shared" si="7"/>
        <v>0</v>
      </c>
      <c r="T26" s="25">
        <f t="shared" si="11"/>
        <v>242823.56442978434</v>
      </c>
      <c r="U26" s="18">
        <f t="shared" si="8"/>
        <v>0.97235153460725476</v>
      </c>
      <c r="V26" s="26">
        <f t="shared" si="9"/>
        <v>732617.56442978443</v>
      </c>
      <c r="W26" s="18">
        <f t="shared" si="2"/>
        <v>0.67834959669424488</v>
      </c>
    </row>
    <row r="27" spans="1:23">
      <c r="A27" s="11">
        <v>23</v>
      </c>
      <c r="B27" s="11">
        <f>VLOOKUP(A27,贴主险建议书!A:B,2,0)</f>
        <v>83</v>
      </c>
      <c r="C27" s="17">
        <f t="shared" si="3"/>
        <v>1329728.1649561687</v>
      </c>
      <c r="D27" s="5">
        <f t="shared" si="0"/>
        <v>12632.417567083603</v>
      </c>
      <c r="E27" s="20">
        <f t="shared" si="4"/>
        <v>262360.58252325235</v>
      </c>
      <c r="F27" s="17">
        <v>0</v>
      </c>
      <c r="G27" s="5">
        <v>0</v>
      </c>
      <c r="H27" s="20">
        <f t="shared" si="10"/>
        <v>3871.8675000000003</v>
      </c>
      <c r="I27" s="14">
        <f t="shared" si="1"/>
        <v>1080000</v>
      </c>
      <c r="J27" s="22">
        <f>VLOOKUP(A27,贴主险建议书!A:E,5,0)</f>
        <v>470892</v>
      </c>
      <c r="K27" s="22">
        <f>VLOOKUP(A27,贴主险建议书!A:G,7,0)</f>
        <v>5676</v>
      </c>
      <c r="L27" s="22">
        <f>VLOOKUP(A27,贴主险建议书!A:H,8,0)</f>
        <v>96011</v>
      </c>
      <c r="M27" s="22">
        <f t="shared" si="5"/>
        <v>96011</v>
      </c>
      <c r="N27" s="23">
        <f>VLOOKUP(A27,贴主险建议书!A:O,15,0)</f>
        <v>596921</v>
      </c>
      <c r="O27" s="14">
        <f t="shared" si="13"/>
        <v>0</v>
      </c>
      <c r="P27" s="5">
        <f t="shared" si="12"/>
        <v>4309.9132109637467</v>
      </c>
      <c r="Q27" s="20">
        <f t="shared" si="6"/>
        <v>152927.61014074809</v>
      </c>
      <c r="R27" s="14">
        <v>0</v>
      </c>
      <c r="S27" s="15">
        <f t="shared" si="7"/>
        <v>0</v>
      </c>
      <c r="T27" s="25">
        <f t="shared" si="11"/>
        <v>252810.47764074808</v>
      </c>
      <c r="U27" s="18">
        <f t="shared" si="8"/>
        <v>0.96359931514613917</v>
      </c>
      <c r="V27" s="26">
        <f t="shared" si="9"/>
        <v>753720.47764074814</v>
      </c>
      <c r="W27" s="18">
        <f t="shared" si="2"/>
        <v>0.69788933114884089</v>
      </c>
    </row>
    <row r="28" spans="1:23">
      <c r="A28" s="11">
        <v>24</v>
      </c>
      <c r="B28" s="11">
        <f>VLOOKUP(A28,贴主险建议书!A:B,2,0)</f>
        <v>84</v>
      </c>
      <c r="C28" s="17">
        <f t="shared" si="3"/>
        <v>1342360.5825232523</v>
      </c>
      <c r="D28" s="5">
        <f t="shared" si="0"/>
        <v>12752.425533970896</v>
      </c>
      <c r="E28" s="20">
        <f t="shared" si="4"/>
        <v>275113.00805722317</v>
      </c>
      <c r="F28" s="17">
        <v>0</v>
      </c>
      <c r="G28" s="5">
        <v>0</v>
      </c>
      <c r="H28" s="20">
        <f t="shared" si="10"/>
        <v>3871.8675000000003</v>
      </c>
      <c r="I28" s="14">
        <f t="shared" si="1"/>
        <v>1080000</v>
      </c>
      <c r="J28" s="22">
        <f>VLOOKUP(A28,贴主险建议书!A:E,5,0)</f>
        <v>478885</v>
      </c>
      <c r="K28" s="22">
        <f>VLOOKUP(A28,贴主险建议书!A:G,7,0)</f>
        <v>5769</v>
      </c>
      <c r="L28" s="22">
        <f>VLOOKUP(A28,贴主险建议书!A:H,8,0)</f>
        <v>101779</v>
      </c>
      <c r="M28" s="22">
        <f t="shared" si="5"/>
        <v>101779</v>
      </c>
      <c r="N28" s="23">
        <f>VLOOKUP(A28,贴主险建议书!A:O,15,0)</f>
        <v>614463</v>
      </c>
      <c r="O28" s="14">
        <f t="shared" si="13"/>
        <v>0</v>
      </c>
      <c r="P28" s="5">
        <f t="shared" si="12"/>
        <v>4434.9006940816944</v>
      </c>
      <c r="Q28" s="20">
        <f t="shared" si="6"/>
        <v>157362.51083482979</v>
      </c>
      <c r="R28" s="14">
        <v>0</v>
      </c>
      <c r="S28" s="15">
        <f t="shared" si="7"/>
        <v>0</v>
      </c>
      <c r="T28" s="25">
        <f t="shared" si="11"/>
        <v>263013.37833482982</v>
      </c>
      <c r="U28" s="18">
        <f t="shared" si="8"/>
        <v>0.95601941977284965</v>
      </c>
      <c r="V28" s="26">
        <f t="shared" si="9"/>
        <v>775697.37833482982</v>
      </c>
      <c r="W28" s="18">
        <f t="shared" si="2"/>
        <v>0.71823831327299059</v>
      </c>
    </row>
    <row r="29" spans="1:23">
      <c r="A29" s="11">
        <v>25</v>
      </c>
      <c r="B29" s="11">
        <f>VLOOKUP(A29,贴主险建议书!A:B,2,0)</f>
        <v>85</v>
      </c>
      <c r="C29" s="17">
        <f t="shared" si="3"/>
        <v>1355113.0080572232</v>
      </c>
      <c r="D29" s="5">
        <f t="shared" si="0"/>
        <v>12873.57357654362</v>
      </c>
      <c r="E29" s="20">
        <f t="shared" si="4"/>
        <v>287986.58163376688</v>
      </c>
      <c r="F29" s="17">
        <v>0</v>
      </c>
      <c r="G29" s="5">
        <v>0</v>
      </c>
      <c r="H29" s="20">
        <f t="shared" si="10"/>
        <v>3871.8675000000003</v>
      </c>
      <c r="I29" s="14">
        <f t="shared" si="1"/>
        <v>1080000</v>
      </c>
      <c r="J29" s="22">
        <f>VLOOKUP(A29,贴主险建议书!A:E,5,0)</f>
        <v>487261</v>
      </c>
      <c r="K29" s="22">
        <f>VLOOKUP(A29,贴主险建议书!A:G,7,0)</f>
        <v>5867</v>
      </c>
      <c r="L29" s="22">
        <f>VLOOKUP(A29,贴主险建议书!A:H,8,0)</f>
        <v>107646</v>
      </c>
      <c r="M29" s="22">
        <f t="shared" si="5"/>
        <v>107646</v>
      </c>
      <c r="N29" s="23">
        <f>VLOOKUP(A29,贴主险建议书!A:O,15,0)</f>
        <v>632772</v>
      </c>
      <c r="O29" s="14">
        <f t="shared" si="13"/>
        <v>0</v>
      </c>
      <c r="P29" s="5">
        <f t="shared" si="12"/>
        <v>4563.5128142100639</v>
      </c>
      <c r="Q29" s="20">
        <f t="shared" si="6"/>
        <v>161926.02364903985</v>
      </c>
      <c r="R29" s="14">
        <v>0</v>
      </c>
      <c r="S29" s="15">
        <f t="shared" si="7"/>
        <v>0</v>
      </c>
      <c r="T29" s="25">
        <f t="shared" si="11"/>
        <v>273443.89114903985</v>
      </c>
      <c r="U29" s="18">
        <f t="shared" si="8"/>
        <v>0.94950219415701453</v>
      </c>
      <c r="V29" s="26">
        <f t="shared" si="9"/>
        <v>798569.89114903996</v>
      </c>
      <c r="W29" s="18">
        <f t="shared" si="2"/>
        <v>0.73941656587874072</v>
      </c>
    </row>
    <row r="30" spans="1:23">
      <c r="A30" s="11">
        <v>26</v>
      </c>
      <c r="B30" s="11">
        <f>VLOOKUP(A30,贴主险建议书!A:B,2,0)</f>
        <v>86</v>
      </c>
      <c r="C30" s="17">
        <f t="shared" si="3"/>
        <v>1367986.5816337669</v>
      </c>
      <c r="D30" s="5">
        <f t="shared" si="0"/>
        <v>12995.872525520785</v>
      </c>
      <c r="E30" s="20">
        <f t="shared" si="4"/>
        <v>300982.45415928774</v>
      </c>
      <c r="F30" s="17">
        <v>0</v>
      </c>
      <c r="G30" s="5">
        <v>0</v>
      </c>
      <c r="H30" s="20">
        <f t="shared" si="10"/>
        <v>3871.8675000000003</v>
      </c>
      <c r="I30" s="14">
        <f t="shared" si="1"/>
        <v>1080000</v>
      </c>
      <c r="J30" s="22">
        <f>VLOOKUP(A30,贴主险建议书!A:E,5,0)</f>
        <v>495796</v>
      </c>
      <c r="K30" s="22">
        <f>VLOOKUP(A30,贴主险建议书!A:G,7,0)</f>
        <v>5969</v>
      </c>
      <c r="L30" s="22">
        <f>VLOOKUP(A30,贴主险建议书!A:H,8,0)</f>
        <v>113615</v>
      </c>
      <c r="M30" s="22">
        <f t="shared" si="5"/>
        <v>113615</v>
      </c>
      <c r="N30" s="23">
        <f>VLOOKUP(A30,贴主险建议书!A:O,15,0)</f>
        <v>651641</v>
      </c>
      <c r="O30" s="14">
        <f t="shared" si="13"/>
        <v>0</v>
      </c>
      <c r="P30" s="5">
        <f t="shared" si="12"/>
        <v>4695.8546858221562</v>
      </c>
      <c r="Q30" s="20">
        <f t="shared" si="6"/>
        <v>166621.87833486201</v>
      </c>
      <c r="R30" s="14">
        <v>0</v>
      </c>
      <c r="S30" s="15">
        <f t="shared" si="7"/>
        <v>0</v>
      </c>
      <c r="T30" s="25">
        <f t="shared" si="11"/>
        <v>284108.745834862</v>
      </c>
      <c r="U30" s="18">
        <f t="shared" si="8"/>
        <v>0.94393790039503189</v>
      </c>
      <c r="V30" s="26">
        <f t="shared" si="9"/>
        <v>822134.745834862</v>
      </c>
      <c r="W30" s="18">
        <f t="shared" si="2"/>
        <v>0.76123587577302032</v>
      </c>
    </row>
    <row r="31" spans="1:23">
      <c r="A31" s="11">
        <v>27</v>
      </c>
      <c r="B31" s="11">
        <f>VLOOKUP(A31,贴主险建议书!A:B,2,0)</f>
        <v>87</v>
      </c>
      <c r="C31" s="17">
        <f t="shared" si="3"/>
        <v>1380982.4541592877</v>
      </c>
      <c r="D31" s="5">
        <f t="shared" si="0"/>
        <v>13119.333314513233</v>
      </c>
      <c r="E31" s="20">
        <f t="shared" si="4"/>
        <v>314101.78747380106</v>
      </c>
      <c r="F31" s="17">
        <v>0</v>
      </c>
      <c r="G31" s="5">
        <v>0</v>
      </c>
      <c r="H31" s="20">
        <f t="shared" si="10"/>
        <v>3871.8675000000003</v>
      </c>
      <c r="I31" s="14">
        <f t="shared" si="1"/>
        <v>1080000</v>
      </c>
      <c r="J31" s="22">
        <f>VLOOKUP(A31,贴主险建议书!A:E,5,0)</f>
        <v>504490</v>
      </c>
      <c r="K31" s="22">
        <f>VLOOKUP(A31,贴主险建议书!A:G,7,0)</f>
        <v>6074</v>
      </c>
      <c r="L31" s="22">
        <f>VLOOKUP(A31,贴主险建议书!A:H,8,0)</f>
        <v>119689</v>
      </c>
      <c r="M31" s="22">
        <f t="shared" si="5"/>
        <v>119689</v>
      </c>
      <c r="N31" s="23">
        <f>VLOOKUP(A31,贴主险建议书!A:O,15,0)</f>
        <v>671083</v>
      </c>
      <c r="O31" s="14">
        <f t="shared" si="13"/>
        <v>0</v>
      </c>
      <c r="P31" s="5">
        <f t="shared" si="12"/>
        <v>4832.0344717109983</v>
      </c>
      <c r="Q31" s="20">
        <f t="shared" si="6"/>
        <v>171453.912806573</v>
      </c>
      <c r="R31" s="14">
        <v>0</v>
      </c>
      <c r="S31" s="15">
        <f t="shared" si="7"/>
        <v>0</v>
      </c>
      <c r="T31" s="25">
        <f t="shared" si="11"/>
        <v>295014.78030657297</v>
      </c>
      <c r="U31" s="18">
        <f t="shared" si="8"/>
        <v>0.9392330514234335</v>
      </c>
      <c r="V31" s="26">
        <f t="shared" si="9"/>
        <v>846408.78030657303</v>
      </c>
      <c r="W31" s="18">
        <f t="shared" si="2"/>
        <v>0.78371183361719721</v>
      </c>
    </row>
    <row r="32" spans="1:23">
      <c r="A32" s="11">
        <v>28</v>
      </c>
      <c r="B32" s="11">
        <f>VLOOKUP(A32,贴主险建议书!A:B,2,0)</f>
        <v>88</v>
      </c>
      <c r="C32" s="17">
        <f t="shared" si="3"/>
        <v>1394101.7874738011</v>
      </c>
      <c r="D32" s="5">
        <f t="shared" si="0"/>
        <v>13243.966981001109</v>
      </c>
      <c r="E32" s="20">
        <f t="shared" si="4"/>
        <v>327345.75445480226</v>
      </c>
      <c r="F32" s="17">
        <v>0</v>
      </c>
      <c r="G32" s="5">
        <v>0</v>
      </c>
      <c r="H32" s="20">
        <f t="shared" si="10"/>
        <v>3871.8675000000003</v>
      </c>
      <c r="I32" s="14">
        <f t="shared" si="1"/>
        <v>1080000</v>
      </c>
      <c r="J32" s="22">
        <f>VLOOKUP(A32,贴主险建议书!A:E,5,0)</f>
        <v>513312</v>
      </c>
      <c r="K32" s="22">
        <f>VLOOKUP(A32,贴主险建议书!A:G,7,0)</f>
        <v>6180</v>
      </c>
      <c r="L32" s="22">
        <f>VLOOKUP(A32,贴主险建议书!A:H,8,0)</f>
        <v>125869</v>
      </c>
      <c r="M32" s="22">
        <f t="shared" si="5"/>
        <v>125869</v>
      </c>
      <c r="N32" s="23">
        <f>VLOOKUP(A32,贴主险建议书!A:O,15,0)</f>
        <v>691081</v>
      </c>
      <c r="O32" s="14">
        <f t="shared" si="13"/>
        <v>0</v>
      </c>
      <c r="P32" s="5">
        <f t="shared" si="12"/>
        <v>4972.1634713906178</v>
      </c>
      <c r="Q32" s="20">
        <f t="shared" si="6"/>
        <v>176426.07627796361</v>
      </c>
      <c r="R32" s="14">
        <v>0</v>
      </c>
      <c r="S32" s="15">
        <f t="shared" si="7"/>
        <v>0</v>
      </c>
      <c r="T32" s="25">
        <f t="shared" si="11"/>
        <v>306166.94377796358</v>
      </c>
      <c r="U32" s="18">
        <f t="shared" si="8"/>
        <v>0.9353014041312</v>
      </c>
      <c r="V32" s="26">
        <f t="shared" si="9"/>
        <v>871378.94377796364</v>
      </c>
      <c r="W32" s="18">
        <f t="shared" si="2"/>
        <v>0.80683235534996633</v>
      </c>
    </row>
    <row r="33" spans="1:23">
      <c r="A33" s="11">
        <v>29</v>
      </c>
      <c r="B33" s="11">
        <f>VLOOKUP(A33,贴主险建议书!A:B,2,0)</f>
        <v>89</v>
      </c>
      <c r="C33" s="17">
        <f t="shared" si="3"/>
        <v>1407345.7544548023</v>
      </c>
      <c r="D33" s="5">
        <f t="shared" si="0"/>
        <v>13369.78466732062</v>
      </c>
      <c r="E33" s="20">
        <f t="shared" si="4"/>
        <v>340715.53912212281</v>
      </c>
      <c r="F33" s="17">
        <v>0</v>
      </c>
      <c r="G33" s="5">
        <v>0</v>
      </c>
      <c r="H33" s="20">
        <f t="shared" si="10"/>
        <v>3871.8675000000003</v>
      </c>
      <c r="I33" s="14">
        <f t="shared" si="1"/>
        <v>1080000</v>
      </c>
      <c r="J33" s="22">
        <f>VLOOKUP(A33,贴主险建议书!A:E,5,0)</f>
        <v>522293</v>
      </c>
      <c r="K33" s="22">
        <f>VLOOKUP(A33,贴主险建议书!A:G,7,0)</f>
        <v>6288</v>
      </c>
      <c r="L33" s="22">
        <f>VLOOKUP(A33,贴主险建议书!A:H,8,0)</f>
        <v>132157</v>
      </c>
      <c r="M33" s="22">
        <f t="shared" si="5"/>
        <v>132157</v>
      </c>
      <c r="N33" s="23">
        <f>VLOOKUP(A33,贴主险建议书!A:O,15,0)</f>
        <v>711682</v>
      </c>
      <c r="O33" s="14">
        <f t="shared" si="13"/>
        <v>0</v>
      </c>
      <c r="P33" s="5">
        <f t="shared" si="12"/>
        <v>5116.3562120609449</v>
      </c>
      <c r="Q33" s="20">
        <f t="shared" si="6"/>
        <v>181542.43249002457</v>
      </c>
      <c r="R33" s="14">
        <v>0</v>
      </c>
      <c r="S33" s="15">
        <f t="shared" si="7"/>
        <v>0</v>
      </c>
      <c r="T33" s="25">
        <f t="shared" si="11"/>
        <v>317571.29999002459</v>
      </c>
      <c r="U33" s="18">
        <f t="shared" si="8"/>
        <v>0.93207166543759368</v>
      </c>
      <c r="V33" s="26">
        <f t="shared" si="9"/>
        <v>897096.29999002465</v>
      </c>
      <c r="W33" s="18">
        <f t="shared" si="2"/>
        <v>0.8306447222129858</v>
      </c>
    </row>
    <row r="34" spans="1:23">
      <c r="A34" s="11">
        <v>30</v>
      </c>
      <c r="B34" s="11">
        <f>VLOOKUP(A34,贴主险建议书!A:B,2,0)</f>
        <v>90</v>
      </c>
      <c r="C34" s="17">
        <f t="shared" si="3"/>
        <v>1420715.5391221228</v>
      </c>
      <c r="D34" s="5">
        <f t="shared" si="0"/>
        <v>13496.797621660166</v>
      </c>
      <c r="E34" s="20">
        <f t="shared" si="4"/>
        <v>354212.33674378297</v>
      </c>
      <c r="F34" s="17">
        <v>0</v>
      </c>
      <c r="G34" s="5">
        <v>0</v>
      </c>
      <c r="H34" s="20">
        <f t="shared" si="10"/>
        <v>3871.8675000000003</v>
      </c>
      <c r="I34" s="14">
        <f t="shared" si="1"/>
        <v>1080000</v>
      </c>
      <c r="J34" s="22">
        <f>VLOOKUP(A34,贴主险建议书!A:E,5,0)</f>
        <v>531433</v>
      </c>
      <c r="K34" s="22">
        <f>VLOOKUP(A34,贴主险建议书!A:G,7,0)</f>
        <v>6398</v>
      </c>
      <c r="L34" s="22">
        <f>VLOOKUP(A34,贴主险建议书!A:H,8,0)</f>
        <v>138555</v>
      </c>
      <c r="M34" s="22">
        <f t="shared" si="5"/>
        <v>138555</v>
      </c>
      <c r="N34" s="23">
        <f>VLOOKUP(A34,贴主险建议书!A:O,15,0)</f>
        <v>732901</v>
      </c>
      <c r="O34" s="14">
        <f t="shared" si="13"/>
        <v>0</v>
      </c>
      <c r="P34" s="5">
        <f t="shared" si="12"/>
        <v>5264.7305422107129</v>
      </c>
      <c r="Q34" s="20">
        <f t="shared" si="6"/>
        <v>186807.16303223529</v>
      </c>
      <c r="R34" s="14">
        <v>0</v>
      </c>
      <c r="S34" s="15">
        <f t="shared" si="7"/>
        <v>0</v>
      </c>
      <c r="T34" s="25">
        <f t="shared" si="11"/>
        <v>329234.03053223528</v>
      </c>
      <c r="U34" s="18">
        <f t="shared" si="8"/>
        <v>0.92948211109424017</v>
      </c>
      <c r="V34" s="26">
        <f t="shared" si="9"/>
        <v>923580.0305322354</v>
      </c>
      <c r="W34" s="18">
        <f t="shared" si="2"/>
        <v>0.85516669493725495</v>
      </c>
    </row>
    <row r="35" spans="1:23">
      <c r="A35" s="11">
        <v>31</v>
      </c>
      <c r="B35" s="11">
        <f>VLOOKUP(A35,贴主险建议书!A:B,2,0)</f>
        <v>91</v>
      </c>
      <c r="C35" s="17">
        <f t="shared" si="3"/>
        <v>1434212.336743783</v>
      </c>
      <c r="D35" s="5">
        <f t="shared" si="0"/>
        <v>13625.017199065938</v>
      </c>
      <c r="E35" s="20">
        <f t="shared" si="4"/>
        <v>367837.35394284897</v>
      </c>
      <c r="F35" s="17">
        <v>0</v>
      </c>
      <c r="G35" s="5">
        <v>0</v>
      </c>
      <c r="H35" s="20">
        <f t="shared" si="10"/>
        <v>3871.8675000000003</v>
      </c>
      <c r="I35" s="14">
        <f t="shared" si="1"/>
        <v>1080000</v>
      </c>
      <c r="J35" s="22">
        <f>VLOOKUP(A35,贴主险建议书!A:E,5,0)</f>
        <v>540701</v>
      </c>
      <c r="K35" s="22">
        <f>VLOOKUP(A35,贴主险建议书!A:G,7,0)</f>
        <v>6510</v>
      </c>
      <c r="L35" s="22">
        <f>VLOOKUP(A35,贴主险建议书!A:H,8,0)</f>
        <v>145065</v>
      </c>
      <c r="M35" s="22">
        <f t="shared" si="5"/>
        <v>145065</v>
      </c>
      <c r="N35" s="23">
        <f>VLOOKUP(A35,贴主险建议书!A:O,15,0)</f>
        <v>754721</v>
      </c>
      <c r="O35" s="14">
        <f t="shared" si="13"/>
        <v>0</v>
      </c>
      <c r="P35" s="5">
        <f t="shared" si="12"/>
        <v>5417.4077279348239</v>
      </c>
      <c r="Q35" s="20">
        <f t="shared" si="6"/>
        <v>192224.57076017011</v>
      </c>
      <c r="R35" s="14">
        <v>0</v>
      </c>
      <c r="S35" s="15">
        <f t="shared" si="7"/>
        <v>0</v>
      </c>
      <c r="T35" s="25">
        <f t="shared" si="11"/>
        <v>341161.43826017011</v>
      </c>
      <c r="U35" s="18">
        <f t="shared" si="8"/>
        <v>0.92747904638629086</v>
      </c>
      <c r="V35" s="26">
        <f t="shared" si="9"/>
        <v>950817.43826017017</v>
      </c>
      <c r="W35" s="18">
        <f t="shared" si="2"/>
        <v>0.88038651690756498</v>
      </c>
    </row>
    <row r="36" spans="1:23">
      <c r="A36" s="11">
        <v>32</v>
      </c>
      <c r="B36" s="11">
        <f>VLOOKUP(A36,贴主险建议书!A:B,2,0)</f>
        <v>92</v>
      </c>
      <c r="C36" s="17">
        <f t="shared" si="3"/>
        <v>1447837.353942849</v>
      </c>
      <c r="D36" s="5">
        <f t="shared" si="0"/>
        <v>13754.454862457065</v>
      </c>
      <c r="E36" s="20">
        <f t="shared" si="4"/>
        <v>381591.80880530598</v>
      </c>
      <c r="F36" s="17">
        <v>0</v>
      </c>
      <c r="G36" s="5">
        <v>0</v>
      </c>
      <c r="H36" s="20">
        <f t="shared" si="10"/>
        <v>3871.8675000000003</v>
      </c>
      <c r="I36" s="14">
        <f t="shared" si="1"/>
        <v>1080000</v>
      </c>
      <c r="J36" s="22">
        <f>VLOOKUP(A36,贴主险建议书!A:E,5,0)</f>
        <v>550159</v>
      </c>
      <c r="K36" s="22">
        <f>VLOOKUP(A36,贴主险建议书!A:G,7,0)</f>
        <v>6624</v>
      </c>
      <c r="L36" s="22">
        <f>VLOOKUP(A36,贴主险建议书!A:H,8,0)</f>
        <v>151689</v>
      </c>
      <c r="M36" s="22">
        <f t="shared" si="5"/>
        <v>151689</v>
      </c>
      <c r="N36" s="23">
        <f>VLOOKUP(A36,贴主险建议书!A:O,15,0)</f>
        <v>777223</v>
      </c>
      <c r="O36" s="14">
        <f t="shared" si="13"/>
        <v>0</v>
      </c>
      <c r="P36" s="5">
        <f t="shared" si="12"/>
        <v>5574.5125520449337</v>
      </c>
      <c r="Q36" s="20">
        <f t="shared" si="6"/>
        <v>197799.08331221505</v>
      </c>
      <c r="R36" s="14">
        <v>0</v>
      </c>
      <c r="S36" s="15">
        <f t="shared" si="7"/>
        <v>0</v>
      </c>
      <c r="T36" s="25">
        <f t="shared" si="11"/>
        <v>353359.95081221504</v>
      </c>
      <c r="U36" s="18">
        <f t="shared" si="8"/>
        <v>0.92601555551865822</v>
      </c>
      <c r="V36" s="26">
        <f t="shared" si="9"/>
        <v>978893.9508122151</v>
      </c>
      <c r="W36" s="18">
        <f t="shared" si="2"/>
        <v>0.90638328778908805</v>
      </c>
    </row>
    <row r="37" spans="1:23">
      <c r="A37" s="11">
        <v>33</v>
      </c>
      <c r="B37" s="11">
        <f>VLOOKUP(A37,贴主险建议书!A:B,2,0)</f>
        <v>93</v>
      </c>
      <c r="C37" s="17">
        <f t="shared" si="3"/>
        <v>1461591.808805306</v>
      </c>
      <c r="D37" s="5">
        <f t="shared" si="0"/>
        <v>13885.122183650406</v>
      </c>
      <c r="E37" s="20">
        <f t="shared" si="4"/>
        <v>395476.93098895648</v>
      </c>
      <c r="F37" s="17">
        <v>0</v>
      </c>
      <c r="G37" s="5">
        <v>0</v>
      </c>
      <c r="H37" s="20">
        <f t="shared" si="10"/>
        <v>3871.8675000000003</v>
      </c>
      <c r="I37" s="14">
        <f t="shared" si="1"/>
        <v>1080000</v>
      </c>
      <c r="J37" s="22">
        <f>VLOOKUP(A37,贴主险建议书!A:E,5,0)</f>
        <v>559809</v>
      </c>
      <c r="K37" s="22">
        <f>VLOOKUP(A37,贴主险建议书!A:G,7,0)</f>
        <v>6740</v>
      </c>
      <c r="L37" s="22">
        <f>VLOOKUP(A37,贴主险建议书!A:H,8,0)</f>
        <v>158428</v>
      </c>
      <c r="M37" s="22">
        <f t="shared" si="5"/>
        <v>158428</v>
      </c>
      <c r="N37" s="23">
        <f>VLOOKUP(A37,贴主险建议书!A:O,15,0)</f>
        <v>800423</v>
      </c>
      <c r="O37" s="14">
        <f t="shared" si="13"/>
        <v>0</v>
      </c>
      <c r="P37" s="5">
        <f t="shared" si="12"/>
        <v>5736.1734160542364</v>
      </c>
      <c r="Q37" s="20">
        <f t="shared" si="6"/>
        <v>203535.25672826928</v>
      </c>
      <c r="R37" s="14">
        <v>0</v>
      </c>
      <c r="S37" s="15">
        <f t="shared" si="7"/>
        <v>0</v>
      </c>
      <c r="T37" s="25">
        <f t="shared" si="11"/>
        <v>365835.12422826927</v>
      </c>
      <c r="U37" s="18">
        <f t="shared" si="8"/>
        <v>0.92504794986002625</v>
      </c>
      <c r="V37" s="26">
        <f t="shared" si="9"/>
        <v>1007830.1242282693</v>
      </c>
      <c r="W37" s="18">
        <f t="shared" si="2"/>
        <v>0.93317604095210127</v>
      </c>
    </row>
    <row r="38" spans="1:23">
      <c r="A38" s="11">
        <v>34</v>
      </c>
      <c r="B38" s="11">
        <f>VLOOKUP(A38,贴主险建议书!A:B,2,0)</f>
        <v>94</v>
      </c>
      <c r="C38" s="17">
        <f t="shared" si="3"/>
        <v>1475476.9309889565</v>
      </c>
      <c r="D38" s="5">
        <f t="shared" si="0"/>
        <v>14017.030844395085</v>
      </c>
      <c r="E38" s="20">
        <f t="shared" si="4"/>
        <v>409493.96183335152</v>
      </c>
      <c r="F38" s="17">
        <v>0</v>
      </c>
      <c r="G38" s="5">
        <v>0</v>
      </c>
      <c r="H38" s="20">
        <f t="shared" si="10"/>
        <v>3871.8675000000003</v>
      </c>
      <c r="I38" s="14">
        <f t="shared" si="1"/>
        <v>1080000</v>
      </c>
      <c r="J38" s="22">
        <f>VLOOKUP(A38,贴主险建议书!A:E,5,0)</f>
        <v>569586</v>
      </c>
      <c r="K38" s="22">
        <f>VLOOKUP(A38,贴主险建议书!A:G,7,0)</f>
        <v>6858</v>
      </c>
      <c r="L38" s="22">
        <f>VLOOKUP(A38,贴主险建议书!A:H,8,0)</f>
        <v>165286</v>
      </c>
      <c r="M38" s="22">
        <f t="shared" ref="M38:M69" si="14">IF((N38-I38)&lt;=L38,L38,N38-I38)</f>
        <v>165286</v>
      </c>
      <c r="N38" s="23">
        <f>VLOOKUP(A38,贴主险建议书!A:O,15,0)</f>
        <v>824275</v>
      </c>
      <c r="O38" s="14">
        <f t="shared" si="13"/>
        <v>0</v>
      </c>
      <c r="P38" s="5">
        <f t="shared" si="12"/>
        <v>5902.5224451198092</v>
      </c>
      <c r="Q38" s="20">
        <f t="shared" si="6"/>
        <v>209437.77917338908</v>
      </c>
      <c r="R38" s="14">
        <v>0</v>
      </c>
      <c r="S38" s="15">
        <f t="shared" si="7"/>
        <v>0</v>
      </c>
      <c r="T38" s="25">
        <f t="shared" ref="T38:T69" si="15">M38+Q38+H38+S38</f>
        <v>378595.64667338907</v>
      </c>
      <c r="U38" s="18">
        <f t="shared" ref="U38:U69" si="16">T38/E38</f>
        <v>0.92454512632707175</v>
      </c>
      <c r="V38" s="26">
        <f t="shared" ref="V38:V69" si="17">N38+S38+Q38+O38+H38+F38</f>
        <v>1037584.6466733891</v>
      </c>
      <c r="W38" s="18">
        <f t="shared" si="2"/>
        <v>0.96072652469758257</v>
      </c>
    </row>
    <row r="39" spans="1:23">
      <c r="A39" s="11">
        <v>35</v>
      </c>
      <c r="B39" s="11">
        <f>VLOOKUP(A39,贴主险建议书!A:B,2,0)</f>
        <v>95</v>
      </c>
      <c r="C39" s="17">
        <f t="shared" si="3"/>
        <v>1489493.9618333515</v>
      </c>
      <c r="D39" s="5">
        <f t="shared" si="0"/>
        <v>14150.19263741684</v>
      </c>
      <c r="E39" s="20">
        <f t="shared" si="4"/>
        <v>423644.15447076829</v>
      </c>
      <c r="F39" s="17">
        <v>0</v>
      </c>
      <c r="G39" s="5">
        <v>0</v>
      </c>
      <c r="H39" s="20">
        <f t="shared" si="10"/>
        <v>3871.8675000000003</v>
      </c>
      <c r="I39" s="14">
        <f t="shared" si="1"/>
        <v>1080000</v>
      </c>
      <c r="J39" s="22">
        <f>VLOOKUP(A39,贴主险建议书!A:E,5,0)</f>
        <v>579554</v>
      </c>
      <c r="K39" s="22">
        <f>VLOOKUP(A39,贴主险建议书!A:G,7,0)</f>
        <v>6978</v>
      </c>
      <c r="L39" s="22">
        <f>VLOOKUP(A39,贴主险建议书!A:H,8,0)</f>
        <v>172263</v>
      </c>
      <c r="M39" s="22">
        <f t="shared" si="14"/>
        <v>172263</v>
      </c>
      <c r="N39" s="23">
        <f>VLOOKUP(A39,贴主险建议书!A:O,15,0)</f>
        <v>848860</v>
      </c>
      <c r="O39" s="14">
        <f t="shared" si="13"/>
        <v>0</v>
      </c>
      <c r="P39" s="5">
        <f t="shared" si="12"/>
        <v>6073.6955960282839</v>
      </c>
      <c r="Q39" s="20">
        <f t="shared" si="6"/>
        <v>215511.47476941737</v>
      </c>
      <c r="R39" s="14">
        <v>0</v>
      </c>
      <c r="S39" s="15">
        <f t="shared" si="7"/>
        <v>0</v>
      </c>
      <c r="T39" s="25">
        <f t="shared" si="15"/>
        <v>391646.34226941736</v>
      </c>
      <c r="U39" s="18">
        <f t="shared" si="16"/>
        <v>0.92447007266906878</v>
      </c>
      <c r="V39" s="26">
        <f t="shared" si="17"/>
        <v>1068243.3422694174</v>
      </c>
      <c r="W39" s="18">
        <f t="shared" si="2"/>
        <v>0.98911420580501608</v>
      </c>
    </row>
    <row r="40" spans="1:23">
      <c r="A40" s="11">
        <v>36</v>
      </c>
      <c r="B40" s="11">
        <f>VLOOKUP(A40,贴主险建议书!A:B,2,0)</f>
        <v>96</v>
      </c>
      <c r="C40" s="17">
        <f t="shared" si="3"/>
        <v>1503644.1544707683</v>
      </c>
      <c r="D40" s="5">
        <f t="shared" si="0"/>
        <v>14284.619467472299</v>
      </c>
      <c r="E40" s="20">
        <f t="shared" si="4"/>
        <v>437928.77393824048</v>
      </c>
      <c r="F40" s="17">
        <v>0</v>
      </c>
      <c r="G40" s="5">
        <v>0</v>
      </c>
      <c r="H40" s="20">
        <f t="shared" si="10"/>
        <v>3871.8675000000003</v>
      </c>
      <c r="I40" s="14">
        <f t="shared" si="1"/>
        <v>1080000</v>
      </c>
      <c r="J40" s="22">
        <f>VLOOKUP(A40,贴主险建议书!A:E,5,0)</f>
        <v>589682</v>
      </c>
      <c r="K40" s="22">
        <f>VLOOKUP(A40,贴主险建议书!A:G,7,0)</f>
        <v>7100</v>
      </c>
      <c r="L40" s="22">
        <f>VLOOKUP(A40,贴主险建议书!A:H,8,0)</f>
        <v>179363</v>
      </c>
      <c r="M40" s="22">
        <f t="shared" si="14"/>
        <v>179363</v>
      </c>
      <c r="N40" s="23">
        <f>VLOOKUP(A40,贴主险建议书!A:O,15,0)</f>
        <v>874165</v>
      </c>
      <c r="O40" s="14">
        <f t="shared" si="13"/>
        <v>0</v>
      </c>
      <c r="P40" s="5">
        <f t="shared" si="12"/>
        <v>6249.8327683131038</v>
      </c>
      <c r="Q40" s="20">
        <f t="shared" si="6"/>
        <v>221761.30753773046</v>
      </c>
      <c r="R40" s="14">
        <v>0</v>
      </c>
      <c r="S40" s="15">
        <f t="shared" si="7"/>
        <v>0</v>
      </c>
      <c r="T40" s="25">
        <f t="shared" si="15"/>
        <v>404996.17503773043</v>
      </c>
      <c r="U40" s="18">
        <f t="shared" si="16"/>
        <v>0.92479918913673753</v>
      </c>
      <c r="V40" s="26">
        <f t="shared" si="17"/>
        <v>1099798.1750377305</v>
      </c>
      <c r="W40" s="18">
        <f t="shared" si="2"/>
        <v>1.0183316435534542</v>
      </c>
    </row>
    <row r="41" spans="1:23">
      <c r="A41" s="11">
        <v>37</v>
      </c>
      <c r="B41" s="11">
        <f>VLOOKUP(A41,贴主险建议书!A:B,2,0)</f>
        <v>97</v>
      </c>
      <c r="C41" s="17">
        <f t="shared" si="3"/>
        <v>1517928.7739382405</v>
      </c>
      <c r="D41" s="5">
        <f t="shared" si="0"/>
        <v>14420.323352413285</v>
      </c>
      <c r="E41" s="20">
        <f t="shared" si="4"/>
        <v>452349.09729065374</v>
      </c>
      <c r="F41" s="17">
        <v>0</v>
      </c>
      <c r="G41" s="5">
        <v>0</v>
      </c>
      <c r="H41" s="20">
        <f t="shared" si="10"/>
        <v>3871.8675000000003</v>
      </c>
      <c r="I41" s="14">
        <f t="shared" si="1"/>
        <v>1080000</v>
      </c>
      <c r="J41" s="22">
        <f>VLOOKUP(A41,贴主险建议书!A:E,5,0)</f>
        <v>600000</v>
      </c>
      <c r="K41" s="22">
        <f>VLOOKUP(A41,贴主险建议书!A:G,7,0)</f>
        <v>7224</v>
      </c>
      <c r="L41" s="22">
        <f>VLOOKUP(A41,贴主险建议书!A:H,8,0)</f>
        <v>186587</v>
      </c>
      <c r="M41" s="22">
        <f t="shared" si="14"/>
        <v>186587</v>
      </c>
      <c r="N41" s="23">
        <f>VLOOKUP(A41,贴主险建议书!A:O,15,0)</f>
        <v>900241</v>
      </c>
      <c r="O41" s="14">
        <f t="shared" si="13"/>
        <v>0</v>
      </c>
      <c r="P41" s="5">
        <f t="shared" si="12"/>
        <v>6431.0779185941838</v>
      </c>
      <c r="Q41" s="20">
        <f t="shared" si="6"/>
        <v>228192.38545632464</v>
      </c>
      <c r="R41" s="14">
        <v>0</v>
      </c>
      <c r="S41" s="15">
        <f t="shared" si="7"/>
        <v>0</v>
      </c>
      <c r="T41" s="25">
        <f t="shared" si="15"/>
        <v>418651.25295632466</v>
      </c>
      <c r="U41" s="18">
        <f t="shared" si="16"/>
        <v>0.92550478261996671</v>
      </c>
      <c r="V41" s="26">
        <f t="shared" si="17"/>
        <v>1132305.2529563245</v>
      </c>
      <c r="W41" s="18">
        <f t="shared" si="2"/>
        <v>1.0484307897743745</v>
      </c>
    </row>
    <row r="42" spans="1:23">
      <c r="A42" s="11">
        <v>38</v>
      </c>
      <c r="B42" s="11">
        <f>VLOOKUP(A42,贴主险建议书!A:B,2,0)</f>
        <v>98</v>
      </c>
      <c r="C42" s="17">
        <f t="shared" si="3"/>
        <v>1532349.0972906537</v>
      </c>
      <c r="D42" s="5">
        <f t="shared" si="0"/>
        <v>14557.316424261209</v>
      </c>
      <c r="E42" s="20">
        <f t="shared" si="4"/>
        <v>466906.41371491505</v>
      </c>
      <c r="F42" s="17">
        <v>0</v>
      </c>
      <c r="G42" s="5">
        <v>0</v>
      </c>
      <c r="H42" s="20">
        <f t="shared" si="10"/>
        <v>3871.8675000000003</v>
      </c>
      <c r="I42" s="14">
        <f t="shared" si="1"/>
        <v>1080000</v>
      </c>
      <c r="J42" s="22">
        <f>VLOOKUP(A42,贴主险建议书!A:E,5,0)</f>
        <v>610478</v>
      </c>
      <c r="K42" s="22">
        <f>VLOOKUP(A42,贴主险建议书!A:G,7,0)</f>
        <v>7350</v>
      </c>
      <c r="L42" s="22">
        <f>VLOOKUP(A42,贴主险建议书!A:H,8,0)</f>
        <v>193937</v>
      </c>
      <c r="M42" s="22">
        <f t="shared" si="14"/>
        <v>193937</v>
      </c>
      <c r="N42" s="23">
        <f>VLOOKUP(A42,贴主险建议书!A:O,15,0)</f>
        <v>927074</v>
      </c>
      <c r="O42" s="14">
        <f t="shared" si="13"/>
        <v>0</v>
      </c>
      <c r="P42" s="5">
        <f t="shared" si="12"/>
        <v>6617.5791782334154</v>
      </c>
      <c r="Q42" s="20">
        <f t="shared" si="6"/>
        <v>234809.96463455807</v>
      </c>
      <c r="R42" s="14">
        <v>0</v>
      </c>
      <c r="S42" s="15">
        <f t="shared" si="7"/>
        <v>0</v>
      </c>
      <c r="T42" s="25">
        <f t="shared" si="15"/>
        <v>432618.83213455806</v>
      </c>
      <c r="U42" s="18">
        <f t="shared" si="16"/>
        <v>0.9265643380060905</v>
      </c>
      <c r="V42" s="26">
        <f t="shared" si="17"/>
        <v>1165755.8321345581</v>
      </c>
      <c r="W42" s="18">
        <f t="shared" si="2"/>
        <v>1.0794035482727391</v>
      </c>
    </row>
    <row r="43" spans="1:23">
      <c r="A43" s="11">
        <v>39</v>
      </c>
      <c r="B43" s="11">
        <f>VLOOKUP(A43,贴主险建议书!A:B,2,0)</f>
        <v>99</v>
      </c>
      <c r="C43" s="17">
        <f t="shared" si="3"/>
        <v>1546906.413714915</v>
      </c>
      <c r="D43" s="5">
        <f t="shared" si="0"/>
        <v>14695.610930291692</v>
      </c>
      <c r="E43" s="20">
        <f t="shared" si="4"/>
        <v>481602.02464520675</v>
      </c>
      <c r="F43" s="17">
        <v>0</v>
      </c>
      <c r="G43" s="5">
        <v>0</v>
      </c>
      <c r="H43" s="20">
        <f t="shared" si="10"/>
        <v>3871.8675000000003</v>
      </c>
      <c r="I43" s="14">
        <f t="shared" si="1"/>
        <v>1080000</v>
      </c>
      <c r="J43" s="22">
        <f>VLOOKUP(A43,贴主险建议书!A:E,5,0)</f>
        <v>621178</v>
      </c>
      <c r="K43" s="22">
        <f>VLOOKUP(A43,贴主险建议书!A:G,7,0)</f>
        <v>7479</v>
      </c>
      <c r="L43" s="22">
        <f>VLOOKUP(A43,贴主险建议书!A:H,8,0)</f>
        <v>201415</v>
      </c>
      <c r="M43" s="22">
        <f t="shared" si="14"/>
        <v>201415</v>
      </c>
      <c r="N43" s="23">
        <f>VLOOKUP(A43,贴主险建议书!A:O,15,0)</f>
        <v>954750</v>
      </c>
      <c r="O43" s="14">
        <f t="shared" si="13"/>
        <v>0</v>
      </c>
      <c r="P43" s="5">
        <f t="shared" si="12"/>
        <v>6809.4889744021848</v>
      </c>
      <c r="Q43" s="20">
        <f t="shared" si="6"/>
        <v>241619.45360896026</v>
      </c>
      <c r="R43" s="14">
        <v>0</v>
      </c>
      <c r="S43" s="15">
        <f t="shared" si="7"/>
        <v>0</v>
      </c>
      <c r="T43" s="25">
        <f t="shared" si="15"/>
        <v>446906.32110896026</v>
      </c>
      <c r="U43" s="18">
        <f t="shared" si="16"/>
        <v>0.92795772907764118</v>
      </c>
      <c r="V43" s="26">
        <f t="shared" si="17"/>
        <v>1200241.3211089603</v>
      </c>
      <c r="W43" s="18">
        <f t="shared" si="2"/>
        <v>1.1113345565823707</v>
      </c>
    </row>
    <row r="44" spans="1:23">
      <c r="A44" s="11">
        <v>40</v>
      </c>
      <c r="B44" s="11">
        <f>VLOOKUP(A44,贴主险建议书!A:B,2,0)</f>
        <v>100</v>
      </c>
      <c r="C44" s="17">
        <f t="shared" si="3"/>
        <v>1561602.0246452068</v>
      </c>
      <c r="D44" s="5">
        <f t="shared" si="0"/>
        <v>14835.219234129463</v>
      </c>
      <c r="E44" s="20">
        <f t="shared" si="4"/>
        <v>496437.24387933617</v>
      </c>
      <c r="F44" s="17">
        <v>0</v>
      </c>
      <c r="G44" s="5">
        <v>0</v>
      </c>
      <c r="H44" s="20">
        <f t="shared" si="10"/>
        <v>3871.8675000000003</v>
      </c>
      <c r="I44" s="14">
        <f t="shared" si="1"/>
        <v>1080000</v>
      </c>
      <c r="J44" s="22">
        <f>VLOOKUP(A44,贴主险建议书!A:E,5,0)</f>
        <v>632038</v>
      </c>
      <c r="K44" s="22">
        <f>VLOOKUP(A44,贴主险建议书!A:G,7,0)</f>
        <v>7609</v>
      </c>
      <c r="L44" s="22">
        <f>VLOOKUP(A44,贴主险建议书!A:H,8,0)</f>
        <v>209025</v>
      </c>
      <c r="M44" s="22">
        <f t="shared" si="14"/>
        <v>209025</v>
      </c>
      <c r="N44" s="23">
        <f>VLOOKUP(A44,贴主险建议书!A:O,15,0)</f>
        <v>983225</v>
      </c>
      <c r="O44" s="14">
        <f t="shared" si="13"/>
        <v>0</v>
      </c>
      <c r="P44" s="5">
        <f t="shared" si="12"/>
        <v>7006.9641546598477</v>
      </c>
      <c r="Q44" s="20">
        <f t="shared" si="6"/>
        <v>248626.41776362012</v>
      </c>
      <c r="R44" s="14">
        <v>0</v>
      </c>
      <c r="S44" s="15">
        <f t="shared" si="7"/>
        <v>0</v>
      </c>
      <c r="T44" s="25">
        <f t="shared" si="15"/>
        <v>461523.28526362014</v>
      </c>
      <c r="U44" s="18">
        <f t="shared" si="16"/>
        <v>0.9296709522781047</v>
      </c>
      <c r="V44" s="26">
        <f t="shared" si="17"/>
        <v>1235723.2852636201</v>
      </c>
      <c r="W44" s="18">
        <f t="shared" si="2"/>
        <v>1.1441882270959445</v>
      </c>
    </row>
    <row r="45" spans="1:23">
      <c r="A45" s="11">
        <v>41</v>
      </c>
      <c r="B45" s="11">
        <f>VLOOKUP(A45,贴主险建议书!A:B,2,0)</f>
        <v>101</v>
      </c>
      <c r="C45" s="17">
        <f t="shared" si="3"/>
        <v>1576437.2438793362</v>
      </c>
      <c r="D45" s="5">
        <f t="shared" si="0"/>
        <v>14976.153816853694</v>
      </c>
      <c r="E45" s="20">
        <f t="shared" si="4"/>
        <v>511413.39769618982</v>
      </c>
      <c r="F45" s="17">
        <v>0</v>
      </c>
      <c r="G45" s="5">
        <v>0</v>
      </c>
      <c r="H45" s="20">
        <f t="shared" si="10"/>
        <v>3871.8675000000003</v>
      </c>
      <c r="I45" s="14">
        <f t="shared" si="1"/>
        <v>1080000</v>
      </c>
      <c r="J45" s="22">
        <f>VLOOKUP(A45,贴主险建议书!A:E,5,0)</f>
        <v>643057</v>
      </c>
      <c r="K45" s="22">
        <f>VLOOKUP(A45,贴主险建议书!A:G,7,0)</f>
        <v>7742</v>
      </c>
      <c r="L45" s="22">
        <f>VLOOKUP(A45,贴主险建议书!A:H,8,0)</f>
        <v>216767</v>
      </c>
      <c r="M45" s="22">
        <f t="shared" si="14"/>
        <v>216767</v>
      </c>
      <c r="N45" s="23">
        <f>VLOOKUP(A45,贴主险建议书!A:O,15,0)</f>
        <v>1012521</v>
      </c>
      <c r="O45" s="14">
        <f t="shared" si="13"/>
        <v>0</v>
      </c>
      <c r="P45" s="5">
        <f t="shared" si="12"/>
        <v>7210.1661151449835</v>
      </c>
      <c r="Q45" s="20">
        <f t="shared" si="6"/>
        <v>255836.58387876512</v>
      </c>
      <c r="R45" s="14">
        <v>0</v>
      </c>
      <c r="S45" s="15">
        <f t="shared" si="7"/>
        <v>0</v>
      </c>
      <c r="T45" s="25">
        <f t="shared" si="15"/>
        <v>476475.45137876511</v>
      </c>
      <c r="U45" s="18">
        <f t="shared" si="16"/>
        <v>0.93168355292447791</v>
      </c>
      <c r="V45" s="26">
        <f t="shared" si="17"/>
        <v>1272229.4513787651</v>
      </c>
      <c r="W45" s="18">
        <f t="shared" si="2"/>
        <v>1.1779902327581158</v>
      </c>
    </row>
    <row r="46" spans="1:23" hidden="1">
      <c r="A46" s="11">
        <v>42</v>
      </c>
      <c r="B46" s="11">
        <f>VLOOKUP(A46,贴主险建议书!A:B,2,0)</f>
        <v>102</v>
      </c>
      <c r="C46" s="17">
        <f t="shared" si="3"/>
        <v>1591413.3976961898</v>
      </c>
      <c r="D46" s="5">
        <f t="shared" si="0"/>
        <v>15118.427278113802</v>
      </c>
      <c r="E46" s="20">
        <f t="shared" si="4"/>
        <v>526531.8249743036</v>
      </c>
      <c r="F46" s="17">
        <v>0</v>
      </c>
      <c r="G46" s="5">
        <v>0</v>
      </c>
      <c r="H46" s="20">
        <f t="shared" si="10"/>
        <v>3871.8675000000003</v>
      </c>
      <c r="I46" s="14">
        <f t="shared" si="1"/>
        <v>1080000</v>
      </c>
      <c r="J46" s="22">
        <f>VLOOKUP(A46,贴主险建议书!A:E,5,0)</f>
        <v>654299</v>
      </c>
      <c r="K46" s="22">
        <f>VLOOKUP(A46,贴主险建议书!A:G,7,0)</f>
        <v>7878</v>
      </c>
      <c r="L46" s="22">
        <f>VLOOKUP(A46,贴主险建议书!A:H,8,0)</f>
        <v>224645</v>
      </c>
      <c r="M46" s="22">
        <f t="shared" si="14"/>
        <v>224645</v>
      </c>
      <c r="N46" s="23">
        <f>VLOOKUP(A46,贴主险建议书!A:O,15,0)</f>
        <v>1042723</v>
      </c>
      <c r="O46" s="14">
        <f t="shared" si="13"/>
        <v>0</v>
      </c>
      <c r="P46" s="5">
        <f t="shared" si="12"/>
        <v>7419.2609324841887</v>
      </c>
      <c r="Q46" s="20">
        <f t="shared" si="6"/>
        <v>263255.84481124929</v>
      </c>
      <c r="R46" s="14">
        <v>0</v>
      </c>
      <c r="S46" s="15">
        <f t="shared" si="7"/>
        <v>0</v>
      </c>
      <c r="T46" s="25">
        <f t="shared" si="15"/>
        <v>491772.71231124928</v>
      </c>
      <c r="U46" s="18">
        <f t="shared" si="16"/>
        <v>0.93398478303804211</v>
      </c>
      <c r="V46" s="26">
        <f t="shared" si="17"/>
        <v>1309850.7123112492</v>
      </c>
      <c r="W46" s="18">
        <f t="shared" si="2"/>
        <v>1.212824733621527</v>
      </c>
    </row>
    <row r="47" spans="1:23">
      <c r="A47" s="11">
        <v>43</v>
      </c>
      <c r="B47" s="11">
        <f>VLOOKUP(A47,贴主险建议书!A:B,2,0)</f>
        <v>103</v>
      </c>
      <c r="C47" s="17">
        <f t="shared" si="3"/>
        <v>1606531.8249743036</v>
      </c>
      <c r="D47" s="5">
        <f t="shared" si="0"/>
        <v>15262.052337255884</v>
      </c>
      <c r="E47" s="20">
        <f t="shared" si="4"/>
        <v>541793.87731155939</v>
      </c>
      <c r="F47" s="17">
        <v>0</v>
      </c>
      <c r="G47" s="5">
        <v>0</v>
      </c>
      <c r="H47" s="20">
        <f t="shared" si="10"/>
        <v>3871.8675000000003</v>
      </c>
      <c r="I47" s="14">
        <f t="shared" si="1"/>
        <v>1080000</v>
      </c>
      <c r="J47" s="22">
        <f>VLOOKUP(A47,贴主险建议书!A:E,5,0)</f>
        <v>665732</v>
      </c>
      <c r="K47" s="22">
        <f>VLOOKUP(A47,贴主险建议书!A:G,7,0)</f>
        <v>8015</v>
      </c>
      <c r="L47" s="22">
        <f>VLOOKUP(A47,贴主险建议书!A:H,8,0)</f>
        <v>232660</v>
      </c>
      <c r="M47" s="22">
        <f t="shared" si="14"/>
        <v>232660</v>
      </c>
      <c r="N47" s="23">
        <f>VLOOKUP(A47,贴主险建议书!A:O,15,0)</f>
        <v>1073823</v>
      </c>
      <c r="O47" s="14">
        <f t="shared" si="13"/>
        <v>0</v>
      </c>
      <c r="P47" s="5">
        <f t="shared" si="12"/>
        <v>7634.4194995262296</v>
      </c>
      <c r="Q47" s="20">
        <f t="shared" si="6"/>
        <v>270890.2643107755</v>
      </c>
      <c r="R47" s="14">
        <v>0</v>
      </c>
      <c r="S47" s="15">
        <f t="shared" si="7"/>
        <v>0</v>
      </c>
      <c r="T47" s="25">
        <f t="shared" si="15"/>
        <v>507422.13181077549</v>
      </c>
      <c r="U47" s="18">
        <f t="shared" si="16"/>
        <v>0.93655936890364977</v>
      </c>
      <c r="V47" s="26">
        <f t="shared" si="17"/>
        <v>1348585.1318107755</v>
      </c>
      <c r="W47" s="18">
        <f t="shared" si="2"/>
        <v>1.2486899368618292</v>
      </c>
    </row>
    <row r="48" spans="1:23">
      <c r="A48" s="11">
        <v>44</v>
      </c>
      <c r="B48" s="11">
        <f>VLOOKUP(A48,贴主险建议书!A:B,2,0)</f>
        <v>104</v>
      </c>
      <c r="C48" s="17">
        <f t="shared" si="3"/>
        <v>1621793.8773115594</v>
      </c>
      <c r="D48" s="5">
        <f t="shared" si="0"/>
        <v>15407.041834459815</v>
      </c>
      <c r="E48" s="20">
        <f t="shared" si="4"/>
        <v>557200.91914601927</v>
      </c>
      <c r="F48" s="17">
        <v>0</v>
      </c>
      <c r="G48" s="5">
        <v>0</v>
      </c>
      <c r="H48" s="20">
        <f t="shared" si="10"/>
        <v>3871.8675000000003</v>
      </c>
      <c r="I48" s="14">
        <f t="shared" si="1"/>
        <v>1080000</v>
      </c>
      <c r="J48" s="22">
        <f>VLOOKUP(A48,贴主险建议书!A:E,5,0)</f>
        <v>677389</v>
      </c>
      <c r="K48" s="22">
        <f>VLOOKUP(A48,贴主险建议书!A:G,7,0)</f>
        <v>8155</v>
      </c>
      <c r="L48" s="22">
        <f>VLOOKUP(A48,贴主险建议书!A:H,8,0)</f>
        <v>240815</v>
      </c>
      <c r="M48" s="22">
        <f t="shared" si="14"/>
        <v>240815</v>
      </c>
      <c r="N48" s="23">
        <f>VLOOKUP(A48,贴主险建议书!A:O,15,0)</f>
        <v>1105876</v>
      </c>
      <c r="O48" s="14">
        <f t="shared" si="13"/>
        <v>0</v>
      </c>
      <c r="P48" s="5">
        <f t="shared" si="12"/>
        <v>7855.8176650124897</v>
      </c>
      <c r="Q48" s="20">
        <f t="shared" si="6"/>
        <v>278746.08197578799</v>
      </c>
      <c r="R48" s="14">
        <v>0</v>
      </c>
      <c r="S48" s="15">
        <f t="shared" si="7"/>
        <v>0</v>
      </c>
      <c r="T48" s="25">
        <f t="shared" si="15"/>
        <v>523432.94947578799</v>
      </c>
      <c r="U48" s="18">
        <f t="shared" si="16"/>
        <v>0.93939713932635838</v>
      </c>
      <c r="V48" s="26">
        <f t="shared" si="17"/>
        <v>1388493.9494757878</v>
      </c>
      <c r="W48" s="18">
        <f t="shared" si="2"/>
        <v>1.2856425458109146</v>
      </c>
    </row>
    <row r="49" spans="1:23">
      <c r="A49" s="11">
        <v>45</v>
      </c>
      <c r="B49" s="11">
        <f>VLOOKUP(A49,贴主险建议书!A:B,2,0)</f>
        <v>105</v>
      </c>
      <c r="C49" s="17">
        <f t="shared" si="3"/>
        <v>1637200.9191460193</v>
      </c>
      <c r="D49" s="5">
        <f t="shared" si="0"/>
        <v>15553.408731887183</v>
      </c>
      <c r="E49" s="20">
        <f t="shared" si="4"/>
        <v>572754.32787790638</v>
      </c>
      <c r="F49" s="17">
        <v>0</v>
      </c>
      <c r="G49" s="5">
        <v>0</v>
      </c>
      <c r="H49" s="20">
        <f t="shared" si="10"/>
        <v>3871.8675000000003</v>
      </c>
      <c r="I49" s="14">
        <f t="shared" si="1"/>
        <v>1080000</v>
      </c>
      <c r="J49" s="22">
        <f>VLOOKUP(A49,贴主险建议书!A:E,5,0)</f>
        <v>689204</v>
      </c>
      <c r="K49" s="22">
        <f>VLOOKUP(A49,贴主险建议书!A:G,7,0)</f>
        <v>8298</v>
      </c>
      <c r="L49" s="22">
        <f>VLOOKUP(A49,贴主险建议书!A:H,8,0)</f>
        <v>249113</v>
      </c>
      <c r="M49" s="22">
        <f t="shared" si="14"/>
        <v>249113</v>
      </c>
      <c r="N49" s="23">
        <f>VLOOKUP(A49,贴主险建议书!A:O,15,0)</f>
        <v>1138842</v>
      </c>
      <c r="O49" s="14">
        <f t="shared" si="13"/>
        <v>0</v>
      </c>
      <c r="P49" s="5">
        <f t="shared" si="12"/>
        <v>8083.6363772978521</v>
      </c>
      <c r="Q49" s="20">
        <f t="shared" si="6"/>
        <v>286829.71835308586</v>
      </c>
      <c r="R49" s="14">
        <v>0</v>
      </c>
      <c r="S49" s="15">
        <f t="shared" si="7"/>
        <v>0</v>
      </c>
      <c r="T49" s="25">
        <f t="shared" si="15"/>
        <v>539814.58585308597</v>
      </c>
      <c r="U49" s="18">
        <f t="shared" si="16"/>
        <v>0.94248888149503052</v>
      </c>
      <c r="V49" s="26">
        <f t="shared" si="17"/>
        <v>1429543.5858530859</v>
      </c>
      <c r="W49" s="18">
        <f t="shared" si="2"/>
        <v>1.3236514683824869</v>
      </c>
    </row>
    <row r="50" spans="1:23">
      <c r="A50" s="11">
        <v>46</v>
      </c>
      <c r="B50" s="11" t="e">
        <f>VLOOKUP(A50,贴主险建议书!A:B,2,0)</f>
        <v>#N/A</v>
      </c>
      <c r="C50" s="17">
        <f t="shared" si="3"/>
        <v>1652754.3278779064</v>
      </c>
      <c r="D50" s="5">
        <f t="shared" si="0"/>
        <v>15701.166114840111</v>
      </c>
      <c r="E50" s="20">
        <f t="shared" si="4"/>
        <v>588455.49399274657</v>
      </c>
      <c r="F50" s="17">
        <v>0</v>
      </c>
      <c r="G50" s="5">
        <v>0</v>
      </c>
      <c r="H50" s="20">
        <f t="shared" si="10"/>
        <v>3871.8675000000003</v>
      </c>
      <c r="I50" s="14">
        <f t="shared" si="1"/>
        <v>1080000</v>
      </c>
      <c r="J50" s="22" t="e">
        <f>VLOOKUP(A50,贴主险建议书!A:E,5,0)</f>
        <v>#N/A</v>
      </c>
      <c r="K50" s="22" t="e">
        <f>VLOOKUP(A50,贴主险建议书!A:G,7,0)</f>
        <v>#N/A</v>
      </c>
      <c r="L50" s="22" t="e">
        <f>VLOOKUP(A50,贴主险建议书!A:H,8,0)</f>
        <v>#N/A</v>
      </c>
      <c r="M50" s="22" t="e">
        <f t="shared" si="14"/>
        <v>#N/A</v>
      </c>
      <c r="N50" s="23" t="e">
        <f>VLOOKUP(A50,贴主险建议书!A:O,15,0)</f>
        <v>#N/A</v>
      </c>
      <c r="O50" s="14">
        <f t="shared" si="13"/>
        <v>0</v>
      </c>
      <c r="P50" s="5">
        <f t="shared" si="12"/>
        <v>8318.0618322394912</v>
      </c>
      <c r="Q50" s="20">
        <f t="shared" si="6"/>
        <v>295147.78018532536</v>
      </c>
      <c r="R50" s="14">
        <v>0</v>
      </c>
      <c r="S50" s="15">
        <f t="shared" si="7"/>
        <v>0</v>
      </c>
      <c r="T50" s="25" t="e">
        <f t="shared" si="15"/>
        <v>#N/A</v>
      </c>
      <c r="U50" s="18" t="e">
        <f t="shared" si="16"/>
        <v>#N/A</v>
      </c>
      <c r="V50" s="26" t="e">
        <f t="shared" si="17"/>
        <v>#N/A</v>
      </c>
      <c r="W50" s="18" t="e">
        <f t="shared" si="2"/>
        <v>#N/A</v>
      </c>
    </row>
    <row r="51" spans="1:23">
      <c r="A51" s="11">
        <v>47</v>
      </c>
      <c r="B51" s="11" t="e">
        <f>VLOOKUP(A51,贴主险建议书!A:B,2,0)</f>
        <v>#N/A</v>
      </c>
      <c r="C51" s="17">
        <f t="shared" si="3"/>
        <v>1668455.4939927466</v>
      </c>
      <c r="D51" s="5">
        <f t="shared" si="0"/>
        <v>15850.327192931092</v>
      </c>
      <c r="E51" s="20">
        <f t="shared" si="4"/>
        <v>604305.82118567778</v>
      </c>
      <c r="F51" s="17">
        <v>0</v>
      </c>
      <c r="G51" s="5">
        <v>0</v>
      </c>
      <c r="H51" s="20">
        <f t="shared" si="10"/>
        <v>3871.8675000000003</v>
      </c>
      <c r="I51" s="14">
        <f t="shared" si="1"/>
        <v>1080000</v>
      </c>
      <c r="J51" s="22" t="e">
        <f>VLOOKUP(A51,贴主险建议书!A:E,5,0)</f>
        <v>#N/A</v>
      </c>
      <c r="K51" s="22" t="e">
        <f>VLOOKUP(A51,贴主险建议书!A:G,7,0)</f>
        <v>#N/A</v>
      </c>
      <c r="L51" s="22" t="e">
        <f>VLOOKUP(A51,贴主险建议书!A:H,8,0)</f>
        <v>#N/A</v>
      </c>
      <c r="M51" s="22" t="e">
        <f t="shared" si="14"/>
        <v>#N/A</v>
      </c>
      <c r="N51" s="23" t="e">
        <f>VLOOKUP(A51,贴主险建议书!A:O,15,0)</f>
        <v>#N/A</v>
      </c>
      <c r="O51" s="14">
        <f t="shared" si="13"/>
        <v>0</v>
      </c>
      <c r="P51" s="5">
        <f t="shared" si="12"/>
        <v>8559.2856253744358</v>
      </c>
      <c r="Q51" s="20">
        <f t="shared" si="6"/>
        <v>303707.06581069977</v>
      </c>
      <c r="R51" s="14">
        <v>0</v>
      </c>
      <c r="S51" s="15">
        <f t="shared" si="7"/>
        <v>0</v>
      </c>
      <c r="T51" s="25" t="e">
        <f t="shared" si="15"/>
        <v>#N/A</v>
      </c>
      <c r="U51" s="18" t="e">
        <f t="shared" si="16"/>
        <v>#N/A</v>
      </c>
      <c r="V51" s="26" t="e">
        <f t="shared" si="17"/>
        <v>#N/A</v>
      </c>
      <c r="W51" s="18" t="e">
        <f t="shared" si="2"/>
        <v>#N/A</v>
      </c>
    </row>
    <row r="52" spans="1:23">
      <c r="A52" s="11">
        <v>48</v>
      </c>
      <c r="B52" s="11" t="e">
        <f>VLOOKUP(A52,贴主险建议书!A:B,2,0)</f>
        <v>#N/A</v>
      </c>
      <c r="C52" s="17">
        <f t="shared" si="3"/>
        <v>1684305.8211856778</v>
      </c>
      <c r="D52" s="5">
        <f t="shared" si="0"/>
        <v>16000.905301263938</v>
      </c>
      <c r="E52" s="20">
        <f t="shared" si="4"/>
        <v>620306.7264869418</v>
      </c>
      <c r="F52" s="17">
        <v>0</v>
      </c>
      <c r="G52" s="5">
        <v>0</v>
      </c>
      <c r="H52" s="20">
        <f t="shared" si="10"/>
        <v>3871.8675000000003</v>
      </c>
      <c r="I52" s="14">
        <f t="shared" si="1"/>
        <v>1080000</v>
      </c>
      <c r="J52" s="22" t="e">
        <f>VLOOKUP(A52,贴主险建议书!A:E,5,0)</f>
        <v>#N/A</v>
      </c>
      <c r="K52" s="22" t="e">
        <f>VLOOKUP(A52,贴主险建议书!A:G,7,0)</f>
        <v>#N/A</v>
      </c>
      <c r="L52" s="22" t="e">
        <f>VLOOKUP(A52,贴主险建议书!A:H,8,0)</f>
        <v>#N/A</v>
      </c>
      <c r="M52" s="22" t="e">
        <f t="shared" si="14"/>
        <v>#N/A</v>
      </c>
      <c r="N52" s="23" t="e">
        <f>VLOOKUP(A52,贴主险建议书!A:O,15,0)</f>
        <v>#N/A</v>
      </c>
      <c r="O52" s="14">
        <f t="shared" si="13"/>
        <v>0</v>
      </c>
      <c r="P52" s="5">
        <f t="shared" si="12"/>
        <v>8807.5049085102946</v>
      </c>
      <c r="Q52" s="20">
        <f t="shared" si="6"/>
        <v>312514.57071921008</v>
      </c>
      <c r="R52" s="14">
        <v>0</v>
      </c>
      <c r="S52" s="15">
        <f t="shared" si="7"/>
        <v>0</v>
      </c>
      <c r="T52" s="25" t="e">
        <f t="shared" si="15"/>
        <v>#N/A</v>
      </c>
      <c r="U52" s="18" t="e">
        <f t="shared" si="16"/>
        <v>#N/A</v>
      </c>
      <c r="V52" s="26" t="e">
        <f t="shared" si="17"/>
        <v>#N/A</v>
      </c>
      <c r="W52" s="18" t="e">
        <f t="shared" si="2"/>
        <v>#N/A</v>
      </c>
    </row>
    <row r="53" spans="1:23">
      <c r="A53" s="11">
        <v>49</v>
      </c>
      <c r="B53" s="11" t="e">
        <f>VLOOKUP(A53,贴主险建议书!A:B,2,0)</f>
        <v>#N/A</v>
      </c>
      <c r="C53" s="17">
        <f t="shared" si="3"/>
        <v>1700306.7264869418</v>
      </c>
      <c r="D53" s="5">
        <f t="shared" si="0"/>
        <v>16152.913901625947</v>
      </c>
      <c r="E53" s="20">
        <f t="shared" si="4"/>
        <v>636459.6403885677</v>
      </c>
      <c r="F53" s="17">
        <v>0</v>
      </c>
      <c r="G53" s="5">
        <v>0</v>
      </c>
      <c r="H53" s="20">
        <f t="shared" si="10"/>
        <v>3871.8675000000003</v>
      </c>
      <c r="I53" s="14">
        <f t="shared" si="1"/>
        <v>1080000</v>
      </c>
      <c r="J53" s="22" t="e">
        <f>VLOOKUP(A53,贴主险建议书!A:E,5,0)</f>
        <v>#N/A</v>
      </c>
      <c r="K53" s="22" t="e">
        <f>VLOOKUP(A53,贴主险建议书!A:G,7,0)</f>
        <v>#N/A</v>
      </c>
      <c r="L53" s="22" t="e">
        <f>VLOOKUP(A53,贴主险建议书!A:H,8,0)</f>
        <v>#N/A</v>
      </c>
      <c r="M53" s="22" t="e">
        <f t="shared" si="14"/>
        <v>#N/A</v>
      </c>
      <c r="N53" s="23" t="e">
        <f>VLOOKUP(A53,贴主险建议书!A:O,15,0)</f>
        <v>#N/A</v>
      </c>
      <c r="O53" s="14">
        <f t="shared" si="13"/>
        <v>0</v>
      </c>
      <c r="P53" s="5">
        <f t="shared" si="12"/>
        <v>9062.9225508570926</v>
      </c>
      <c r="Q53" s="20">
        <f t="shared" si="6"/>
        <v>321577.49327006715</v>
      </c>
      <c r="R53" s="14">
        <v>0</v>
      </c>
      <c r="S53" s="15">
        <f t="shared" si="7"/>
        <v>0</v>
      </c>
      <c r="T53" s="25" t="e">
        <f t="shared" si="15"/>
        <v>#N/A</v>
      </c>
      <c r="U53" s="18" t="e">
        <f t="shared" si="16"/>
        <v>#N/A</v>
      </c>
      <c r="V53" s="26" t="e">
        <f t="shared" si="17"/>
        <v>#N/A</v>
      </c>
      <c r="W53" s="18" t="e">
        <f t="shared" si="2"/>
        <v>#N/A</v>
      </c>
    </row>
    <row r="54" spans="1:23">
      <c r="A54" s="11">
        <v>50</v>
      </c>
      <c r="B54" s="11" t="e">
        <f>VLOOKUP(A54,贴主险建议书!A:B,2,0)</f>
        <v>#N/A</v>
      </c>
      <c r="C54" s="17">
        <f t="shared" si="3"/>
        <v>1716459.6403885677</v>
      </c>
      <c r="D54" s="5">
        <f t="shared" si="0"/>
        <v>16306.366583691393</v>
      </c>
      <c r="E54" s="20">
        <f t="shared" si="4"/>
        <v>652766.00697225914</v>
      </c>
      <c r="F54" s="17">
        <v>0</v>
      </c>
      <c r="G54" s="5">
        <v>0</v>
      </c>
      <c r="H54" s="20">
        <f t="shared" si="10"/>
        <v>3871.8675000000003</v>
      </c>
      <c r="I54" s="14">
        <f t="shared" si="1"/>
        <v>1080000</v>
      </c>
      <c r="J54" s="22" t="e">
        <f>VLOOKUP(A54,贴主险建议书!A:E,5,0)</f>
        <v>#N/A</v>
      </c>
      <c r="K54" s="22" t="e">
        <f>VLOOKUP(A54,贴主险建议书!A:G,7,0)</f>
        <v>#N/A</v>
      </c>
      <c r="L54" s="22" t="e">
        <f>VLOOKUP(A54,贴主险建议书!A:H,8,0)</f>
        <v>#N/A</v>
      </c>
      <c r="M54" s="22" t="e">
        <f t="shared" si="14"/>
        <v>#N/A</v>
      </c>
      <c r="N54" s="23" t="e">
        <f>VLOOKUP(A54,贴主险建议书!A:O,15,0)</f>
        <v>#N/A</v>
      </c>
      <c r="O54" s="14">
        <f t="shared" si="13"/>
        <v>0</v>
      </c>
      <c r="P54" s="5">
        <f t="shared" si="12"/>
        <v>9325.747304831948</v>
      </c>
      <c r="Q54" s="20">
        <f t="shared" si="6"/>
        <v>330903.24057489907</v>
      </c>
      <c r="R54" s="14">
        <v>0</v>
      </c>
      <c r="S54" s="15">
        <f t="shared" si="7"/>
        <v>0</v>
      </c>
      <c r="T54" s="25" t="e">
        <f t="shared" si="15"/>
        <v>#N/A</v>
      </c>
      <c r="U54" s="18" t="e">
        <f t="shared" si="16"/>
        <v>#N/A</v>
      </c>
      <c r="V54" s="26" t="e">
        <f t="shared" si="17"/>
        <v>#N/A</v>
      </c>
      <c r="W54" s="18" t="e">
        <f t="shared" si="2"/>
        <v>#N/A</v>
      </c>
    </row>
    <row r="55" spans="1:23">
      <c r="A55" s="11">
        <v>51</v>
      </c>
      <c r="B55" s="11" t="e">
        <f>VLOOKUP(A55,贴主险建议书!A:B,2,0)</f>
        <v>#N/A</v>
      </c>
      <c r="C55" s="17">
        <f t="shared" si="3"/>
        <v>1732766.0069722591</v>
      </c>
      <c r="D55" s="5">
        <f t="shared" si="0"/>
        <v>16461.27706623646</v>
      </c>
      <c r="E55" s="20">
        <f t="shared" si="4"/>
        <v>669227.28403849551</v>
      </c>
      <c r="F55" s="17">
        <v>0</v>
      </c>
      <c r="G55" s="5">
        <v>0</v>
      </c>
      <c r="H55" s="20">
        <f t="shared" si="10"/>
        <v>3871.8675000000003</v>
      </c>
      <c r="I55" s="14">
        <f t="shared" si="1"/>
        <v>1080000</v>
      </c>
      <c r="J55" s="22" t="e">
        <f>VLOOKUP(A55,贴主险建议书!A:E,5,0)</f>
        <v>#N/A</v>
      </c>
      <c r="K55" s="22" t="e">
        <f>VLOOKUP(A55,贴主险建议书!A:G,7,0)</f>
        <v>#N/A</v>
      </c>
      <c r="L55" s="22" t="e">
        <f>VLOOKUP(A55,贴主险建议书!A:H,8,0)</f>
        <v>#N/A</v>
      </c>
      <c r="M55" s="22" t="e">
        <f t="shared" si="14"/>
        <v>#N/A</v>
      </c>
      <c r="N55" s="23" t="e">
        <f>VLOOKUP(A55,贴主险建议书!A:O,15,0)</f>
        <v>#N/A</v>
      </c>
      <c r="O55" s="14">
        <f t="shared" si="13"/>
        <v>0</v>
      </c>
      <c r="P55" s="5">
        <f t="shared" si="12"/>
        <v>9596.1939766720734</v>
      </c>
      <c r="Q55" s="20">
        <f t="shared" si="6"/>
        <v>340499.43455157115</v>
      </c>
      <c r="R55" s="14">
        <v>0</v>
      </c>
      <c r="S55" s="15">
        <f t="shared" si="7"/>
        <v>0</v>
      </c>
      <c r="T55" s="25" t="e">
        <f t="shared" si="15"/>
        <v>#N/A</v>
      </c>
      <c r="U55" s="18" t="e">
        <f t="shared" si="16"/>
        <v>#N/A</v>
      </c>
      <c r="V55" s="26" t="e">
        <f t="shared" si="17"/>
        <v>#N/A</v>
      </c>
      <c r="W55" s="18" t="e">
        <f t="shared" si="2"/>
        <v>#N/A</v>
      </c>
    </row>
    <row r="56" spans="1:23">
      <c r="A56" s="11">
        <v>52</v>
      </c>
      <c r="B56" s="11" t="e">
        <f>VLOOKUP(A56,贴主险建议书!A:B,2,0)</f>
        <v>#N/A</v>
      </c>
      <c r="C56" s="17">
        <f t="shared" si="3"/>
        <v>1749227.2840384955</v>
      </c>
      <c r="D56" s="5">
        <f t="shared" si="0"/>
        <v>16617.659198365705</v>
      </c>
      <c r="E56" s="20">
        <f t="shared" si="4"/>
        <v>685844.94323686115</v>
      </c>
      <c r="F56" s="17">
        <v>0</v>
      </c>
      <c r="G56" s="5">
        <v>0</v>
      </c>
      <c r="H56" s="20">
        <f t="shared" si="10"/>
        <v>3871.8675000000003</v>
      </c>
      <c r="I56" s="14">
        <f t="shared" si="1"/>
        <v>1080000</v>
      </c>
      <c r="J56" s="22" t="e">
        <f>VLOOKUP(A56,贴主险建议书!A:E,5,0)</f>
        <v>#N/A</v>
      </c>
      <c r="K56" s="22" t="e">
        <f>VLOOKUP(A56,贴主险建议书!A:G,7,0)</f>
        <v>#N/A</v>
      </c>
      <c r="L56" s="22" t="e">
        <f>VLOOKUP(A56,贴主险建议书!A:H,8,0)</f>
        <v>#N/A</v>
      </c>
      <c r="M56" s="22" t="e">
        <f t="shared" si="14"/>
        <v>#N/A</v>
      </c>
      <c r="N56" s="23" t="e">
        <f>VLOOKUP(A56,贴主险建议书!A:O,15,0)</f>
        <v>#N/A</v>
      </c>
      <c r="O56" s="14">
        <f t="shared" si="13"/>
        <v>0</v>
      </c>
      <c r="P56" s="5">
        <f t="shared" si="12"/>
        <v>9874.4836019955637</v>
      </c>
      <c r="Q56" s="20">
        <f t="shared" si="6"/>
        <v>350373.91815356672</v>
      </c>
      <c r="R56" s="14">
        <v>0</v>
      </c>
      <c r="S56" s="15">
        <f t="shared" si="7"/>
        <v>0</v>
      </c>
      <c r="T56" s="25" t="e">
        <f t="shared" si="15"/>
        <v>#N/A</v>
      </c>
      <c r="U56" s="18" t="e">
        <f t="shared" si="16"/>
        <v>#N/A</v>
      </c>
      <c r="V56" s="26" t="e">
        <f t="shared" si="17"/>
        <v>#N/A</v>
      </c>
      <c r="W56" s="18" t="e">
        <f t="shared" si="2"/>
        <v>#N/A</v>
      </c>
    </row>
    <row r="57" spans="1:23">
      <c r="A57" s="11">
        <v>53</v>
      </c>
      <c r="B57" s="11" t="e">
        <f>VLOOKUP(A57,贴主险建议书!A:B,2,0)</f>
        <v>#N/A</v>
      </c>
      <c r="C57" s="17">
        <f t="shared" si="3"/>
        <v>1765844.9432368611</v>
      </c>
      <c r="D57" s="5">
        <f t="shared" si="0"/>
        <v>16775.52696075018</v>
      </c>
      <c r="E57" s="20">
        <f t="shared" si="4"/>
        <v>702620.47019761126</v>
      </c>
      <c r="F57" s="17">
        <v>0</v>
      </c>
      <c r="G57" s="5">
        <v>0</v>
      </c>
      <c r="H57" s="20">
        <f t="shared" si="10"/>
        <v>3871.8675000000003</v>
      </c>
      <c r="I57" s="14">
        <f t="shared" si="1"/>
        <v>1080000</v>
      </c>
      <c r="J57" s="22" t="e">
        <f>VLOOKUP(A57,贴主险建议书!A:E,5,0)</f>
        <v>#N/A</v>
      </c>
      <c r="K57" s="22" t="e">
        <f>VLOOKUP(A57,贴主险建议书!A:G,7,0)</f>
        <v>#N/A</v>
      </c>
      <c r="L57" s="22" t="e">
        <f>VLOOKUP(A57,贴主险建议书!A:H,8,0)</f>
        <v>#N/A</v>
      </c>
      <c r="M57" s="22" t="e">
        <f t="shared" si="14"/>
        <v>#N/A</v>
      </c>
      <c r="N57" s="23" t="e">
        <f>VLOOKUP(A57,贴主险建议书!A:O,15,0)</f>
        <v>#N/A</v>
      </c>
      <c r="O57" s="14">
        <f t="shared" si="13"/>
        <v>0</v>
      </c>
      <c r="P57" s="5">
        <f t="shared" si="12"/>
        <v>10160.843626453436</v>
      </c>
      <c r="Q57" s="20">
        <f t="shared" si="6"/>
        <v>360534.76178002014</v>
      </c>
      <c r="R57" s="14">
        <v>0</v>
      </c>
      <c r="S57" s="15">
        <f t="shared" si="7"/>
        <v>0</v>
      </c>
      <c r="T57" s="25" t="e">
        <f t="shared" si="15"/>
        <v>#N/A</v>
      </c>
      <c r="U57" s="18" t="e">
        <f t="shared" si="16"/>
        <v>#N/A</v>
      </c>
      <c r="V57" s="26" t="e">
        <f t="shared" si="17"/>
        <v>#N/A</v>
      </c>
      <c r="W57" s="18" t="e">
        <f t="shared" si="2"/>
        <v>#N/A</v>
      </c>
    </row>
    <row r="58" spans="1:23">
      <c r="A58" s="11">
        <v>54</v>
      </c>
      <c r="B58" s="11" t="e">
        <f>VLOOKUP(A58,贴主险建议书!A:B,2,0)</f>
        <v>#N/A</v>
      </c>
      <c r="C58" s="17">
        <f t="shared" si="3"/>
        <v>1782620.4701976113</v>
      </c>
      <c r="D58" s="5">
        <f t="shared" si="0"/>
        <v>16934.894466877307</v>
      </c>
      <c r="E58" s="20">
        <f t="shared" si="4"/>
        <v>719555.36466448847</v>
      </c>
      <c r="F58" s="17">
        <v>0</v>
      </c>
      <c r="G58" s="5">
        <v>0</v>
      </c>
      <c r="H58" s="20">
        <f t="shared" si="10"/>
        <v>3871.8675000000003</v>
      </c>
      <c r="I58" s="14">
        <f t="shared" si="1"/>
        <v>1080000</v>
      </c>
      <c r="J58" s="22" t="e">
        <f>VLOOKUP(A58,贴主险建议书!A:E,5,0)</f>
        <v>#N/A</v>
      </c>
      <c r="K58" s="22" t="e">
        <f>VLOOKUP(A58,贴主险建议书!A:G,7,0)</f>
        <v>#N/A</v>
      </c>
      <c r="L58" s="22" t="e">
        <f>VLOOKUP(A58,贴主险建议书!A:H,8,0)</f>
        <v>#N/A</v>
      </c>
      <c r="M58" s="22" t="e">
        <f t="shared" si="14"/>
        <v>#N/A</v>
      </c>
      <c r="N58" s="23" t="e">
        <f>VLOOKUP(A58,贴主险建议书!A:O,15,0)</f>
        <v>#N/A</v>
      </c>
      <c r="O58" s="14">
        <f t="shared" si="13"/>
        <v>0</v>
      </c>
      <c r="P58" s="5">
        <f t="shared" si="12"/>
        <v>10455.508091620584</v>
      </c>
      <c r="Q58" s="20">
        <f t="shared" si="6"/>
        <v>370990.26987164072</v>
      </c>
      <c r="R58" s="14">
        <v>0</v>
      </c>
      <c r="S58" s="15">
        <f t="shared" si="7"/>
        <v>0</v>
      </c>
      <c r="T58" s="25" t="e">
        <f t="shared" si="15"/>
        <v>#N/A</v>
      </c>
      <c r="U58" s="18" t="e">
        <f t="shared" si="16"/>
        <v>#N/A</v>
      </c>
      <c r="V58" s="26" t="e">
        <f t="shared" si="17"/>
        <v>#N/A</v>
      </c>
      <c r="W58" s="18" t="e">
        <f t="shared" si="2"/>
        <v>#N/A</v>
      </c>
    </row>
    <row r="59" spans="1:23">
      <c r="A59" s="11">
        <v>55</v>
      </c>
      <c r="B59" s="11" t="e">
        <f>VLOOKUP(A59,贴主险建议书!A:B,2,0)</f>
        <v>#N/A</v>
      </c>
      <c r="C59" s="17">
        <f t="shared" si="3"/>
        <v>1799555.3646644885</v>
      </c>
      <c r="D59" s="5">
        <f t="shared" si="0"/>
        <v>17095.775964312641</v>
      </c>
      <c r="E59" s="20">
        <f t="shared" si="4"/>
        <v>736651.14062880119</v>
      </c>
      <c r="F59" s="17">
        <v>0</v>
      </c>
      <c r="G59" s="5">
        <v>0</v>
      </c>
      <c r="H59" s="20">
        <f t="shared" si="10"/>
        <v>3871.8675000000003</v>
      </c>
      <c r="I59" s="14">
        <f t="shared" si="1"/>
        <v>1080000</v>
      </c>
      <c r="J59" s="22" t="e">
        <f>VLOOKUP(A59,贴主险建议书!A:E,5,0)</f>
        <v>#N/A</v>
      </c>
      <c r="K59" s="22" t="e">
        <f>VLOOKUP(A59,贴主险建议书!A:G,7,0)</f>
        <v>#N/A</v>
      </c>
      <c r="L59" s="22" t="e">
        <f>VLOOKUP(A59,贴主险建议书!A:H,8,0)</f>
        <v>#N/A</v>
      </c>
      <c r="M59" s="22" t="e">
        <f t="shared" si="14"/>
        <v>#N/A</v>
      </c>
      <c r="N59" s="23" t="e">
        <f>VLOOKUP(A59,贴主险建议书!A:O,15,0)</f>
        <v>#N/A</v>
      </c>
      <c r="O59" s="14">
        <f t="shared" si="13"/>
        <v>0</v>
      </c>
      <c r="P59" s="5">
        <f t="shared" si="12"/>
        <v>10758.717826277581</v>
      </c>
      <c r="Q59" s="20">
        <f t="shared" si="6"/>
        <v>381748.98769791832</v>
      </c>
      <c r="R59" s="14">
        <v>0</v>
      </c>
      <c r="S59" s="15">
        <f t="shared" si="7"/>
        <v>0</v>
      </c>
      <c r="T59" s="25" t="e">
        <f t="shared" si="15"/>
        <v>#N/A</v>
      </c>
      <c r="U59" s="18" t="e">
        <f t="shared" si="16"/>
        <v>#N/A</v>
      </c>
      <c r="V59" s="26" t="e">
        <f t="shared" si="17"/>
        <v>#N/A</v>
      </c>
      <c r="W59" s="18" t="e">
        <f t="shared" si="2"/>
        <v>#N/A</v>
      </c>
    </row>
    <row r="60" spans="1:23">
      <c r="A60" s="11">
        <v>56</v>
      </c>
      <c r="B60" s="11" t="e">
        <f>VLOOKUP(A60,贴主险建议书!A:B,2,0)</f>
        <v>#N/A</v>
      </c>
      <c r="C60" s="17">
        <f t="shared" si="3"/>
        <v>1816651.1406288012</v>
      </c>
      <c r="D60" s="5">
        <f t="shared" si="0"/>
        <v>17258.185835973611</v>
      </c>
      <c r="E60" s="20">
        <f t="shared" si="4"/>
        <v>753909.32646477479</v>
      </c>
      <c r="F60" s="17">
        <v>0</v>
      </c>
      <c r="G60" s="5">
        <v>0</v>
      </c>
      <c r="H60" s="20">
        <f t="shared" si="10"/>
        <v>3871.8675000000003</v>
      </c>
      <c r="I60" s="14">
        <f t="shared" si="1"/>
        <v>1080000</v>
      </c>
      <c r="J60" s="22" t="e">
        <f>VLOOKUP(A60,贴主险建议书!A:E,5,0)</f>
        <v>#N/A</v>
      </c>
      <c r="K60" s="22" t="e">
        <f>VLOOKUP(A60,贴主险建议书!A:G,7,0)</f>
        <v>#N/A</v>
      </c>
      <c r="L60" s="22" t="e">
        <f>VLOOKUP(A60,贴主险建议书!A:H,8,0)</f>
        <v>#N/A</v>
      </c>
      <c r="M60" s="22" t="e">
        <f t="shared" si="14"/>
        <v>#N/A</v>
      </c>
      <c r="N60" s="23" t="e">
        <f>VLOOKUP(A60,贴主险建议书!A:O,15,0)</f>
        <v>#N/A</v>
      </c>
      <c r="O60" s="14">
        <f t="shared" si="13"/>
        <v>0</v>
      </c>
      <c r="P60" s="5">
        <f t="shared" si="12"/>
        <v>11070.720643239632</v>
      </c>
      <c r="Q60" s="20">
        <f t="shared" si="6"/>
        <v>392819.70834115794</v>
      </c>
      <c r="R60" s="14">
        <v>0</v>
      </c>
      <c r="S60" s="15">
        <f t="shared" si="7"/>
        <v>0</v>
      </c>
      <c r="T60" s="25" t="e">
        <f t="shared" si="15"/>
        <v>#N/A</v>
      </c>
      <c r="U60" s="18" t="e">
        <f t="shared" si="16"/>
        <v>#N/A</v>
      </c>
      <c r="V60" s="26" t="e">
        <f t="shared" si="17"/>
        <v>#N/A</v>
      </c>
      <c r="W60" s="18" t="e">
        <f t="shared" si="2"/>
        <v>#N/A</v>
      </c>
    </row>
    <row r="61" spans="1:23">
      <c r="A61" s="11">
        <v>57</v>
      </c>
      <c r="B61" s="11" t="e">
        <f>VLOOKUP(A61,贴主险建议书!A:B,2,0)</f>
        <v>#N/A</v>
      </c>
      <c r="C61" s="17">
        <f t="shared" si="3"/>
        <v>1833909.3264647748</v>
      </c>
      <c r="D61" s="5">
        <f t="shared" si="0"/>
        <v>17422.138601415361</v>
      </c>
      <c r="E61" s="20">
        <f t="shared" si="4"/>
        <v>771331.46506619011</v>
      </c>
      <c r="F61" s="17">
        <v>0</v>
      </c>
      <c r="G61" s="5">
        <v>0</v>
      </c>
      <c r="H61" s="20">
        <f t="shared" si="10"/>
        <v>3871.8675000000003</v>
      </c>
      <c r="I61" s="14">
        <f t="shared" si="1"/>
        <v>1080000</v>
      </c>
      <c r="J61" s="22" t="e">
        <f>VLOOKUP(A61,贴主险建议书!A:E,5,0)</f>
        <v>#N/A</v>
      </c>
      <c r="K61" s="22" t="e">
        <f>VLOOKUP(A61,贴主险建议书!A:G,7,0)</f>
        <v>#N/A</v>
      </c>
      <c r="L61" s="22" t="e">
        <f>VLOOKUP(A61,贴主险建议书!A:H,8,0)</f>
        <v>#N/A</v>
      </c>
      <c r="M61" s="22" t="e">
        <f t="shared" si="14"/>
        <v>#N/A</v>
      </c>
      <c r="N61" s="23" t="e">
        <f>VLOOKUP(A61,贴主险建议书!A:O,15,0)</f>
        <v>#N/A</v>
      </c>
      <c r="O61" s="14">
        <f t="shared" si="13"/>
        <v>0</v>
      </c>
      <c r="P61" s="5">
        <f t="shared" si="12"/>
        <v>11391.77154189358</v>
      </c>
      <c r="Q61" s="20">
        <f t="shared" si="6"/>
        <v>404211.47988305154</v>
      </c>
      <c r="R61" s="14">
        <v>0</v>
      </c>
      <c r="S61" s="15">
        <f t="shared" si="7"/>
        <v>0</v>
      </c>
      <c r="T61" s="25" t="e">
        <f t="shared" si="15"/>
        <v>#N/A</v>
      </c>
      <c r="U61" s="18" t="e">
        <f t="shared" si="16"/>
        <v>#N/A</v>
      </c>
      <c r="V61" s="26" t="e">
        <f t="shared" si="17"/>
        <v>#N/A</v>
      </c>
      <c r="W61" s="18" t="e">
        <f t="shared" si="2"/>
        <v>#N/A</v>
      </c>
    </row>
    <row r="62" spans="1:23">
      <c r="A62" s="11">
        <v>58</v>
      </c>
      <c r="B62" s="11" t="e">
        <f>VLOOKUP(A62,贴主险建议书!A:B,2,0)</f>
        <v>#N/A</v>
      </c>
      <c r="C62" s="17">
        <f t="shared" si="3"/>
        <v>1851331.4650661901</v>
      </c>
      <c r="D62" s="5">
        <f t="shared" si="0"/>
        <v>17587.648918128805</v>
      </c>
      <c r="E62" s="20">
        <f t="shared" si="4"/>
        <v>788919.11398431892</v>
      </c>
      <c r="F62" s="17">
        <v>0</v>
      </c>
      <c r="G62" s="5">
        <v>0</v>
      </c>
      <c r="H62" s="20">
        <f t="shared" si="10"/>
        <v>3871.8675000000003</v>
      </c>
      <c r="I62" s="14">
        <f t="shared" si="1"/>
        <v>1080000</v>
      </c>
      <c r="J62" s="22" t="e">
        <f>VLOOKUP(A62,贴主险建议书!A:E,5,0)</f>
        <v>#N/A</v>
      </c>
      <c r="K62" s="22" t="e">
        <f>VLOOKUP(A62,贴主险建议书!A:G,7,0)</f>
        <v>#N/A</v>
      </c>
      <c r="L62" s="22" t="e">
        <f>VLOOKUP(A62,贴主险建议书!A:H,8,0)</f>
        <v>#N/A</v>
      </c>
      <c r="M62" s="22" t="e">
        <f t="shared" si="14"/>
        <v>#N/A</v>
      </c>
      <c r="N62" s="23" t="e">
        <f>VLOOKUP(A62,贴主险建议书!A:O,15,0)</f>
        <v>#N/A</v>
      </c>
      <c r="O62" s="14">
        <f t="shared" si="13"/>
        <v>0</v>
      </c>
      <c r="P62" s="5">
        <f t="shared" si="12"/>
        <v>11722.132916608494</v>
      </c>
      <c r="Q62" s="20">
        <f t="shared" si="6"/>
        <v>415933.61279966001</v>
      </c>
      <c r="R62" s="14">
        <v>0</v>
      </c>
      <c r="S62" s="15">
        <f t="shared" si="7"/>
        <v>0</v>
      </c>
      <c r="T62" s="25" t="e">
        <f t="shared" si="15"/>
        <v>#N/A</v>
      </c>
      <c r="U62" s="18" t="e">
        <f t="shared" si="16"/>
        <v>#N/A</v>
      </c>
      <c r="V62" s="26" t="e">
        <f t="shared" si="17"/>
        <v>#N/A</v>
      </c>
      <c r="W62" s="18" t="e">
        <f t="shared" si="2"/>
        <v>#N/A</v>
      </c>
    </row>
    <row r="63" spans="1:23">
      <c r="A63" s="11">
        <v>59</v>
      </c>
      <c r="B63" s="11" t="e">
        <f>VLOOKUP(A63,贴主险建议书!A:B,2,0)</f>
        <v>#N/A</v>
      </c>
      <c r="C63" s="17">
        <f t="shared" si="3"/>
        <v>1868919.1139843189</v>
      </c>
      <c r="D63" s="5">
        <f t="shared" si="0"/>
        <v>17754.731582851029</v>
      </c>
      <c r="E63" s="20">
        <f t="shared" si="4"/>
        <v>806673.84556716983</v>
      </c>
      <c r="F63" s="17">
        <v>0</v>
      </c>
      <c r="G63" s="5">
        <v>0</v>
      </c>
      <c r="H63" s="20">
        <f t="shared" si="10"/>
        <v>3871.8675000000003</v>
      </c>
      <c r="I63" s="14">
        <f t="shared" si="1"/>
        <v>1080000</v>
      </c>
      <c r="J63" s="22" t="e">
        <f>VLOOKUP(A63,贴主险建议书!A:E,5,0)</f>
        <v>#N/A</v>
      </c>
      <c r="K63" s="22" t="e">
        <f>VLOOKUP(A63,贴主险建议书!A:G,7,0)</f>
        <v>#N/A</v>
      </c>
      <c r="L63" s="22" t="e">
        <f>VLOOKUP(A63,贴主险建议书!A:H,8,0)</f>
        <v>#N/A</v>
      </c>
      <c r="M63" s="22" t="e">
        <f t="shared" si="14"/>
        <v>#N/A</v>
      </c>
      <c r="N63" s="23" t="e">
        <f>VLOOKUP(A63,贴主险建议书!A:O,15,0)</f>
        <v>#N/A</v>
      </c>
      <c r="O63" s="14">
        <f t="shared" si="13"/>
        <v>0</v>
      </c>
      <c r="P63" s="5">
        <f t="shared" si="12"/>
        <v>12062.07477119014</v>
      </c>
      <c r="Q63" s="20">
        <f t="shared" si="6"/>
        <v>427995.68757085013</v>
      </c>
      <c r="R63" s="14">
        <v>0</v>
      </c>
      <c r="S63" s="15">
        <f t="shared" si="7"/>
        <v>0</v>
      </c>
      <c r="T63" s="25" t="e">
        <f t="shared" si="15"/>
        <v>#N/A</v>
      </c>
      <c r="U63" s="18" t="e">
        <f t="shared" si="16"/>
        <v>#N/A</v>
      </c>
      <c r="V63" s="26" t="e">
        <f t="shared" si="17"/>
        <v>#N/A</v>
      </c>
      <c r="W63" s="18" t="e">
        <f t="shared" si="2"/>
        <v>#N/A</v>
      </c>
    </row>
    <row r="64" spans="1:23">
      <c r="A64" s="11">
        <v>60</v>
      </c>
      <c r="B64" s="11" t="e">
        <f>VLOOKUP(A64,贴主险建议书!A:B,2,0)</f>
        <v>#N/A</v>
      </c>
      <c r="C64" s="17">
        <f t="shared" si="3"/>
        <v>1886673.8455671698</v>
      </c>
      <c r="D64" s="5">
        <f t="shared" si="0"/>
        <v>17923.401532888114</v>
      </c>
      <c r="E64" s="20">
        <f t="shared" si="4"/>
        <v>824597.24710005801</v>
      </c>
      <c r="F64" s="17">
        <v>0</v>
      </c>
      <c r="G64" s="5">
        <v>0</v>
      </c>
      <c r="H64" s="20">
        <f t="shared" si="10"/>
        <v>3871.8675000000003</v>
      </c>
      <c r="I64" s="14">
        <f t="shared" si="1"/>
        <v>1080000</v>
      </c>
      <c r="J64" s="22" t="e">
        <f>VLOOKUP(A64,贴主险建议书!A:E,5,0)</f>
        <v>#N/A</v>
      </c>
      <c r="K64" s="22" t="e">
        <f>VLOOKUP(A64,贴主险建议书!A:G,7,0)</f>
        <v>#N/A</v>
      </c>
      <c r="L64" s="22" t="e">
        <f>VLOOKUP(A64,贴主险建议书!A:H,8,0)</f>
        <v>#N/A</v>
      </c>
      <c r="M64" s="22" t="e">
        <f t="shared" si="14"/>
        <v>#N/A</v>
      </c>
      <c r="N64" s="23" t="e">
        <f>VLOOKUP(A64,贴主险建议书!A:O,15,0)</f>
        <v>#N/A</v>
      </c>
      <c r="O64" s="14">
        <f t="shared" si="13"/>
        <v>0</v>
      </c>
      <c r="P64" s="5">
        <f t="shared" si="12"/>
        <v>12411.874939554655</v>
      </c>
      <c r="Q64" s="20">
        <f t="shared" si="6"/>
        <v>440407.56251040479</v>
      </c>
      <c r="R64" s="14">
        <v>0</v>
      </c>
      <c r="S64" s="15">
        <f t="shared" si="7"/>
        <v>0</v>
      </c>
      <c r="T64" s="25" t="e">
        <f t="shared" si="15"/>
        <v>#N/A</v>
      </c>
      <c r="U64" s="18" t="e">
        <f t="shared" si="16"/>
        <v>#N/A</v>
      </c>
      <c r="V64" s="26" t="e">
        <f t="shared" si="17"/>
        <v>#N/A</v>
      </c>
      <c r="W64" s="18" t="e">
        <f t="shared" si="2"/>
        <v>#N/A</v>
      </c>
    </row>
    <row r="65" spans="1:23">
      <c r="A65" s="11">
        <v>61</v>
      </c>
      <c r="B65" s="11" t="e">
        <f>VLOOKUP(A65,贴主险建议书!A:B,2,0)</f>
        <v>#N/A</v>
      </c>
      <c r="C65" s="17">
        <f t="shared" si="3"/>
        <v>1904597.247100058</v>
      </c>
      <c r="D65" s="5">
        <f t="shared" si="0"/>
        <v>18093.673847450551</v>
      </c>
      <c r="E65" s="20">
        <f t="shared" si="4"/>
        <v>842690.92094750865</v>
      </c>
      <c r="F65" s="17">
        <v>0</v>
      </c>
      <c r="G65" s="5">
        <v>0</v>
      </c>
      <c r="H65" s="20">
        <f t="shared" si="10"/>
        <v>3871.8675000000003</v>
      </c>
      <c r="I65" s="14">
        <f t="shared" si="1"/>
        <v>1080000</v>
      </c>
      <c r="J65" s="22" t="e">
        <f>VLOOKUP(A65,贴主险建议书!A:E,5,0)</f>
        <v>#N/A</v>
      </c>
      <c r="K65" s="22" t="e">
        <f>VLOOKUP(A65,贴主险建议书!A:G,7,0)</f>
        <v>#N/A</v>
      </c>
      <c r="L65" s="22" t="e">
        <f>VLOOKUP(A65,贴主险建议书!A:H,8,0)</f>
        <v>#N/A</v>
      </c>
      <c r="M65" s="22" t="e">
        <f t="shared" si="14"/>
        <v>#N/A</v>
      </c>
      <c r="N65" s="23" t="e">
        <f>VLOOKUP(A65,贴主险建议书!A:O,15,0)</f>
        <v>#N/A</v>
      </c>
      <c r="O65" s="14">
        <f t="shared" si="13"/>
        <v>0</v>
      </c>
      <c r="P65" s="5">
        <f t="shared" si="12"/>
        <v>12771.819312801739</v>
      </c>
      <c r="Q65" s="20">
        <f t="shared" si="6"/>
        <v>453179.38182320655</v>
      </c>
      <c r="R65" s="14">
        <v>1</v>
      </c>
      <c r="S65" s="15">
        <f t="shared" si="7"/>
        <v>1</v>
      </c>
      <c r="T65" s="25" t="e">
        <f t="shared" si="15"/>
        <v>#N/A</v>
      </c>
      <c r="U65" s="18" t="e">
        <f t="shared" si="16"/>
        <v>#N/A</v>
      </c>
      <c r="V65" s="26" t="e">
        <f t="shared" si="17"/>
        <v>#N/A</v>
      </c>
      <c r="W65" s="18" t="e">
        <f t="shared" si="2"/>
        <v>#N/A</v>
      </c>
    </row>
    <row r="66" spans="1:23">
      <c r="A66" s="11">
        <v>62</v>
      </c>
      <c r="B66" s="11" t="e">
        <f>VLOOKUP(A66,贴主险建议书!A:B,2,0)</f>
        <v>#N/A</v>
      </c>
      <c r="C66" s="17">
        <f t="shared" si="3"/>
        <v>1922690.9209475087</v>
      </c>
      <c r="D66" s="5">
        <f t="shared" si="0"/>
        <v>18265.563749001332</v>
      </c>
      <c r="E66" s="20">
        <f t="shared" si="4"/>
        <v>860956.48469651002</v>
      </c>
      <c r="F66" s="17">
        <v>0</v>
      </c>
      <c r="G66" s="5">
        <v>0</v>
      </c>
      <c r="H66" s="20">
        <f t="shared" si="10"/>
        <v>3871.8675000000003</v>
      </c>
      <c r="I66" s="14">
        <f t="shared" si="1"/>
        <v>1080000</v>
      </c>
      <c r="J66" s="22" t="e">
        <f>VLOOKUP(A66,贴主险建议书!A:E,5,0)</f>
        <v>#N/A</v>
      </c>
      <c r="K66" s="22" t="e">
        <f>VLOOKUP(A66,贴主险建议书!A:G,7,0)</f>
        <v>#N/A</v>
      </c>
      <c r="L66" s="22" t="e">
        <f>VLOOKUP(A66,贴主险建议书!A:H,8,0)</f>
        <v>#N/A</v>
      </c>
      <c r="M66" s="22" t="e">
        <f t="shared" si="14"/>
        <v>#N/A</v>
      </c>
      <c r="N66" s="23" t="e">
        <f>VLOOKUP(A66,贴主险建议书!A:O,15,0)</f>
        <v>#N/A</v>
      </c>
      <c r="O66" s="14">
        <f t="shared" si="13"/>
        <v>0</v>
      </c>
      <c r="P66" s="5">
        <f t="shared" si="12"/>
        <v>13142.202072872991</v>
      </c>
      <c r="Q66" s="20">
        <f t="shared" si="6"/>
        <v>466321.58389607957</v>
      </c>
      <c r="R66" s="14">
        <v>2</v>
      </c>
      <c r="S66" s="15">
        <f t="shared" si="7"/>
        <v>3</v>
      </c>
      <c r="T66" s="25" t="e">
        <f t="shared" si="15"/>
        <v>#N/A</v>
      </c>
      <c r="U66" s="18" t="e">
        <f t="shared" si="16"/>
        <v>#N/A</v>
      </c>
      <c r="V66" s="26" t="e">
        <f t="shared" si="17"/>
        <v>#N/A</v>
      </c>
      <c r="W66" s="18" t="e">
        <f t="shared" si="2"/>
        <v>#N/A</v>
      </c>
    </row>
    <row r="67" spans="1:23">
      <c r="A67" s="11">
        <v>63</v>
      </c>
      <c r="B67" s="11" t="e">
        <f>VLOOKUP(A67,贴主险建议书!A:B,2,0)</f>
        <v>#N/A</v>
      </c>
      <c r="C67" s="17">
        <f t="shared" si="3"/>
        <v>1940956.48469651</v>
      </c>
      <c r="D67" s="5">
        <f t="shared" si="0"/>
        <v>18439.086604616845</v>
      </c>
      <c r="E67" s="20">
        <f t="shared" si="4"/>
        <v>879395.57130112685</v>
      </c>
      <c r="F67" s="17">
        <v>0</v>
      </c>
      <c r="G67" s="5">
        <v>0</v>
      </c>
      <c r="H67" s="20">
        <f t="shared" si="10"/>
        <v>3871.8675000000003</v>
      </c>
      <c r="I67" s="14">
        <f t="shared" si="1"/>
        <v>1080000</v>
      </c>
      <c r="J67" s="22" t="e">
        <f>VLOOKUP(A67,贴主险建议书!A:E,5,0)</f>
        <v>#N/A</v>
      </c>
      <c r="K67" s="22" t="e">
        <f>VLOOKUP(A67,贴主险建议书!A:G,7,0)</f>
        <v>#N/A</v>
      </c>
      <c r="L67" s="22" t="e">
        <f>VLOOKUP(A67,贴主险建议书!A:H,8,0)</f>
        <v>#N/A</v>
      </c>
      <c r="M67" s="22" t="e">
        <f t="shared" si="14"/>
        <v>#N/A</v>
      </c>
      <c r="N67" s="23" t="e">
        <f>VLOOKUP(A67,贴主险建议书!A:O,15,0)</f>
        <v>#N/A</v>
      </c>
      <c r="O67" s="14">
        <f t="shared" si="13"/>
        <v>0</v>
      </c>
      <c r="P67" s="5">
        <f t="shared" si="12"/>
        <v>13523.325932986309</v>
      </c>
      <c r="Q67" s="20">
        <f t="shared" si="6"/>
        <v>479844.9098290659</v>
      </c>
      <c r="R67" s="14">
        <v>3</v>
      </c>
      <c r="S67" s="15">
        <f t="shared" si="7"/>
        <v>6</v>
      </c>
      <c r="T67" s="25" t="e">
        <f t="shared" si="15"/>
        <v>#N/A</v>
      </c>
      <c r="U67" s="18" t="e">
        <f t="shared" si="16"/>
        <v>#N/A</v>
      </c>
      <c r="V67" s="26" t="e">
        <f t="shared" si="17"/>
        <v>#N/A</v>
      </c>
      <c r="W67" s="18" t="e">
        <f t="shared" si="2"/>
        <v>#N/A</v>
      </c>
    </row>
    <row r="68" spans="1:23">
      <c r="A68" s="11">
        <v>64</v>
      </c>
      <c r="B68" s="11" t="e">
        <f>VLOOKUP(A68,贴主险建议书!A:B,2,0)</f>
        <v>#N/A</v>
      </c>
      <c r="C68" s="17">
        <f t="shared" si="3"/>
        <v>1959395.5713011269</v>
      </c>
      <c r="D68" s="5">
        <f t="shared" si="0"/>
        <v>18614.257927360704</v>
      </c>
      <c r="E68" s="20">
        <f t="shared" si="4"/>
        <v>898009.82922848756</v>
      </c>
      <c r="F68" s="17">
        <v>0</v>
      </c>
      <c r="G68" s="5">
        <v>0</v>
      </c>
      <c r="H68" s="20">
        <f t="shared" si="10"/>
        <v>3871.8675000000003</v>
      </c>
      <c r="I68" s="14">
        <f t="shared" si="1"/>
        <v>1080000</v>
      </c>
      <c r="J68" s="22" t="e">
        <f>VLOOKUP(A68,贴主险建议书!A:E,5,0)</f>
        <v>#N/A</v>
      </c>
      <c r="K68" s="22" t="e">
        <f>VLOOKUP(A68,贴主险建议书!A:G,7,0)</f>
        <v>#N/A</v>
      </c>
      <c r="L68" s="22" t="e">
        <f>VLOOKUP(A68,贴主险建议书!A:H,8,0)</f>
        <v>#N/A</v>
      </c>
      <c r="M68" s="22" t="e">
        <f t="shared" si="14"/>
        <v>#N/A</v>
      </c>
      <c r="N68" s="23" t="e">
        <f>VLOOKUP(A68,贴主险建议书!A:O,15,0)</f>
        <v>#N/A</v>
      </c>
      <c r="O68" s="14">
        <f t="shared" si="13"/>
        <v>0</v>
      </c>
      <c r="P68" s="5">
        <f t="shared" si="12"/>
        <v>13915.502385042912</v>
      </c>
      <c r="Q68" s="20">
        <f t="shared" si="6"/>
        <v>493760.4122141088</v>
      </c>
      <c r="R68" s="14">
        <v>4</v>
      </c>
      <c r="S68" s="15">
        <f t="shared" si="7"/>
        <v>10</v>
      </c>
      <c r="T68" s="25" t="e">
        <f t="shared" si="15"/>
        <v>#N/A</v>
      </c>
      <c r="U68" s="18" t="e">
        <f t="shared" si="16"/>
        <v>#N/A</v>
      </c>
      <c r="V68" s="26" t="e">
        <f t="shared" si="17"/>
        <v>#N/A</v>
      </c>
      <c r="W68" s="18" t="e">
        <f t="shared" si="2"/>
        <v>#N/A</v>
      </c>
    </row>
    <row r="69" spans="1:23">
      <c r="A69" s="11">
        <v>65</v>
      </c>
      <c r="B69" s="11" t="e">
        <f>VLOOKUP(A69,贴主险建议书!A:B,2,0)</f>
        <v>#N/A</v>
      </c>
      <c r="C69" s="27">
        <f t="shared" si="3"/>
        <v>1978009.8292284876</v>
      </c>
      <c r="D69" s="28">
        <f>C69*$D$3</f>
        <v>18791.09337767063</v>
      </c>
      <c r="E69" s="29">
        <f t="shared" si="4"/>
        <v>916800.9226061583</v>
      </c>
      <c r="F69" s="27">
        <v>0</v>
      </c>
      <c r="G69" s="28">
        <v>0</v>
      </c>
      <c r="H69" s="29">
        <f t="shared" si="10"/>
        <v>3871.8675000000003</v>
      </c>
      <c r="I69" s="9">
        <f>IF(A69&lt;=$F$1,$C$5/$F$1*$A69,$C$5)</f>
        <v>1080000</v>
      </c>
      <c r="J69" s="22" t="e">
        <f>VLOOKUP(A69,贴主险建议书!A:E,5,0)</f>
        <v>#N/A</v>
      </c>
      <c r="K69" s="22" t="e">
        <f>VLOOKUP(A69,贴主险建议书!A:G,7,0)</f>
        <v>#N/A</v>
      </c>
      <c r="L69" s="22" t="e">
        <f>VLOOKUP(A69,贴主险建议书!A:H,8,0)</f>
        <v>#N/A</v>
      </c>
      <c r="M69" s="22" t="e">
        <f t="shared" si="14"/>
        <v>#N/A</v>
      </c>
      <c r="N69" s="23" t="e">
        <f>VLOOKUP(A69,贴主险建议书!A:O,15,0)</f>
        <v>#N/A</v>
      </c>
      <c r="O69" s="9">
        <f t="shared" si="13"/>
        <v>0</v>
      </c>
      <c r="P69" s="28">
        <f t="shared" si="12"/>
        <v>14319.051954209155</v>
      </c>
      <c r="Q69" s="29">
        <f t="shared" si="6"/>
        <v>508079.46416831797</v>
      </c>
      <c r="R69" s="9">
        <v>5</v>
      </c>
      <c r="S69" s="10">
        <f t="shared" si="7"/>
        <v>15</v>
      </c>
      <c r="T69" s="25" t="e">
        <f t="shared" si="15"/>
        <v>#N/A</v>
      </c>
      <c r="U69" s="18" t="e">
        <f t="shared" si="16"/>
        <v>#N/A</v>
      </c>
      <c r="V69" s="30" t="e">
        <f t="shared" si="17"/>
        <v>#N/A</v>
      </c>
      <c r="W69" s="31" t="e">
        <f>V69/$C$5</f>
        <v>#N/A</v>
      </c>
    </row>
    <row r="70" spans="1:23">
      <c r="A70" s="4">
        <v>66</v>
      </c>
      <c r="B70" s="11" t="e">
        <f>VLOOKUP(A70,贴主险建议书!A:B,2,0)</f>
        <v>#N/A</v>
      </c>
      <c r="I70" s="32"/>
      <c r="J70" s="32"/>
      <c r="L70" s="22"/>
      <c r="M70" s="22"/>
      <c r="W70" s="4"/>
    </row>
    <row r="71" spans="1:23">
      <c r="A71" s="4">
        <v>67</v>
      </c>
      <c r="B71" s="11" t="e">
        <f>VLOOKUP(A71,贴主险建议书!A:B,2,0)</f>
        <v>#N/A</v>
      </c>
      <c r="L71" s="22"/>
      <c r="M71" s="22"/>
    </row>
    <row r="72" spans="1:23">
      <c r="A72" s="4">
        <v>68</v>
      </c>
      <c r="B72" s="11" t="e">
        <f>VLOOKUP(A72,贴主险建议书!A:B,2,0)</f>
        <v>#N/A</v>
      </c>
      <c r="L72" s="22"/>
      <c r="M72" s="22"/>
    </row>
    <row r="73" spans="1:23">
      <c r="A73" s="4">
        <v>69</v>
      </c>
      <c r="B73" s="11" t="e">
        <f>VLOOKUP(A73,贴主险建议书!A:B,2,0)</f>
        <v>#N/A</v>
      </c>
      <c r="L73" s="22"/>
      <c r="M73" s="22"/>
    </row>
    <row r="74" spans="1:23">
      <c r="A74" s="4">
        <v>70</v>
      </c>
      <c r="B74" s="11" t="e">
        <f>VLOOKUP(A74,贴主险建议书!A:B,2,0)</f>
        <v>#N/A</v>
      </c>
      <c r="L74" s="22"/>
      <c r="M74" s="22"/>
    </row>
    <row r="75" spans="1:23">
      <c r="A75" s="4">
        <v>71</v>
      </c>
      <c r="B75" s="11" t="e">
        <f>VLOOKUP(A75,贴主险建议书!A:B,2,0)</f>
        <v>#N/A</v>
      </c>
      <c r="L75" s="22"/>
      <c r="M75" s="22"/>
    </row>
    <row r="76" spans="1:23">
      <c r="A76" s="4">
        <v>72</v>
      </c>
      <c r="B76" s="11" t="e">
        <f>VLOOKUP(A76,贴主险建议书!A:B,2,0)</f>
        <v>#N/A</v>
      </c>
      <c r="L76" s="22"/>
      <c r="M76" s="22"/>
    </row>
    <row r="77" spans="1:23">
      <c r="A77" s="4">
        <v>73</v>
      </c>
      <c r="B77" s="11" t="e">
        <f>VLOOKUP(A77,贴主险建议书!A:B,2,0)</f>
        <v>#N/A</v>
      </c>
      <c r="L77" s="22"/>
      <c r="M77" s="22"/>
    </row>
    <row r="78" spans="1:23">
      <c r="A78" s="4">
        <v>74</v>
      </c>
      <c r="B78" s="11" t="e">
        <f>VLOOKUP(A78,贴主险建议书!A:B,2,0)</f>
        <v>#N/A</v>
      </c>
      <c r="L78" s="22"/>
      <c r="M78" s="22"/>
    </row>
    <row r="79" spans="1:23">
      <c r="A79" s="4">
        <v>75</v>
      </c>
      <c r="B79" s="11" t="e">
        <f>VLOOKUP(A79,贴主险建议书!A:B,2,0)</f>
        <v>#N/A</v>
      </c>
      <c r="L79" s="22"/>
      <c r="M79" s="22"/>
    </row>
    <row r="80" spans="1:23">
      <c r="A80" s="4">
        <v>76</v>
      </c>
      <c r="B80" s="11" t="e">
        <f>VLOOKUP(A80,贴主险建议书!A:B,2,0)</f>
        <v>#N/A</v>
      </c>
      <c r="L80" s="22"/>
      <c r="M80" s="22"/>
    </row>
    <row r="81" spans="1:13">
      <c r="A81" s="4">
        <v>77</v>
      </c>
      <c r="B81" s="11" t="e">
        <f>VLOOKUP(A81,贴主险建议书!A:B,2,0)</f>
        <v>#N/A</v>
      </c>
      <c r="L81" s="22"/>
      <c r="M81" s="22"/>
    </row>
    <row r="82" spans="1:13">
      <c r="A82" s="4">
        <v>78</v>
      </c>
      <c r="B82" s="11" t="e">
        <f>VLOOKUP(A82,贴主险建议书!A:B,2,0)</f>
        <v>#N/A</v>
      </c>
      <c r="L82" s="22"/>
      <c r="M82" s="22"/>
    </row>
    <row r="83" spans="1:13">
      <c r="A83" s="4">
        <v>79</v>
      </c>
      <c r="B83" s="11" t="e">
        <f>VLOOKUP(A83,贴主险建议书!A:B,2,0)</f>
        <v>#N/A</v>
      </c>
      <c r="L83" s="22"/>
      <c r="M83" s="22"/>
    </row>
    <row r="84" spans="1:13">
      <c r="A84" s="4">
        <v>80</v>
      </c>
      <c r="B84" s="11" t="e">
        <f>VLOOKUP(A84,贴主险建议书!A:B,2,0)</f>
        <v>#N/A</v>
      </c>
      <c r="L84" s="22"/>
      <c r="M84" s="22"/>
    </row>
    <row r="85" spans="1:13">
      <c r="A85" s="4">
        <v>81</v>
      </c>
      <c r="B85" s="11" t="e">
        <f>VLOOKUP(A85,贴主险建议书!A:B,2,0)</f>
        <v>#N/A</v>
      </c>
      <c r="L85" s="22"/>
      <c r="M85" s="22"/>
    </row>
    <row r="86" spans="1:13">
      <c r="A86" s="4">
        <v>82</v>
      </c>
      <c r="B86" s="11" t="e">
        <f>VLOOKUP(A86,贴主险建议书!A:B,2,0)</f>
        <v>#N/A</v>
      </c>
      <c r="L86" s="22"/>
      <c r="M86" s="22"/>
    </row>
    <row r="87" spans="1:13">
      <c r="A87" s="4">
        <v>83</v>
      </c>
      <c r="B87" s="11" t="e">
        <f>VLOOKUP(A87,贴主险建议书!A:B,2,0)</f>
        <v>#N/A</v>
      </c>
      <c r="L87" s="22"/>
      <c r="M87" s="22"/>
    </row>
    <row r="88" spans="1:13">
      <c r="A88" s="4">
        <v>84</v>
      </c>
      <c r="B88" s="11" t="e">
        <f>VLOOKUP(A88,贴主险建议书!A:B,2,0)</f>
        <v>#N/A</v>
      </c>
      <c r="L88" s="22"/>
      <c r="M88" s="22"/>
    </row>
    <row r="89" spans="1:13">
      <c r="A89" s="4">
        <v>85</v>
      </c>
      <c r="B89" s="11" t="e">
        <f>VLOOKUP(A89,贴主险建议书!A:B,2,0)</f>
        <v>#N/A</v>
      </c>
      <c r="L89" s="22"/>
      <c r="M89" s="22"/>
    </row>
    <row r="90" spans="1:13">
      <c r="A90" s="4">
        <v>86</v>
      </c>
      <c r="B90" s="11" t="e">
        <f>VLOOKUP(A90,贴主险建议书!A:B,2,0)</f>
        <v>#N/A</v>
      </c>
      <c r="L90" s="22"/>
      <c r="M90" s="22"/>
    </row>
    <row r="91" spans="1:13">
      <c r="A91" s="4">
        <v>87</v>
      </c>
      <c r="B91" s="11" t="e">
        <f>VLOOKUP(A91,贴主险建议书!A:B,2,0)</f>
        <v>#N/A</v>
      </c>
      <c r="L91" s="22"/>
      <c r="M91" s="22"/>
    </row>
    <row r="92" spans="1:13">
      <c r="A92" s="4">
        <v>88</v>
      </c>
      <c r="B92" s="11" t="e">
        <f>VLOOKUP(A92,贴主险建议书!A:B,2,0)</f>
        <v>#N/A</v>
      </c>
      <c r="L92" s="22"/>
      <c r="M92" s="22"/>
    </row>
    <row r="93" spans="1:13">
      <c r="A93" s="4">
        <v>89</v>
      </c>
      <c r="B93" s="11" t="e">
        <f>VLOOKUP(A93,贴主险建议书!A:B,2,0)</f>
        <v>#N/A</v>
      </c>
      <c r="L93" s="22"/>
      <c r="M93" s="22"/>
    </row>
    <row r="94" spans="1:13">
      <c r="A94" s="4">
        <v>90</v>
      </c>
      <c r="B94" s="11" t="e">
        <f>VLOOKUP(A94,贴主险建议书!A:B,2,0)</f>
        <v>#N/A</v>
      </c>
      <c r="L94" s="22"/>
      <c r="M94" s="22"/>
    </row>
    <row r="95" spans="1:13">
      <c r="A95" s="4">
        <v>91</v>
      </c>
      <c r="B95" s="11" t="e">
        <f>VLOOKUP(A95,贴主险建议书!A:B,2,0)</f>
        <v>#N/A</v>
      </c>
      <c r="L95" s="22"/>
      <c r="M95" s="22"/>
    </row>
    <row r="96" spans="1:13">
      <c r="A96" s="4">
        <v>92</v>
      </c>
      <c r="B96" s="11" t="e">
        <f>VLOOKUP(A96,贴主险建议书!A:B,2,0)</f>
        <v>#N/A</v>
      </c>
      <c r="L96" s="22"/>
      <c r="M96" s="22"/>
    </row>
    <row r="97" spans="1:13">
      <c r="A97" s="4">
        <v>93</v>
      </c>
      <c r="B97" s="11" t="e">
        <f>VLOOKUP(A97,贴主险建议书!A:B,2,0)</f>
        <v>#N/A</v>
      </c>
      <c r="L97" s="22"/>
      <c r="M97" s="22"/>
    </row>
    <row r="98" spans="1:13">
      <c r="A98" s="4">
        <v>94</v>
      </c>
      <c r="B98" s="11" t="e">
        <f>VLOOKUP(A98,贴主险建议书!A:B,2,0)</f>
        <v>#N/A</v>
      </c>
      <c r="L98" s="22"/>
      <c r="M98" s="22"/>
    </row>
    <row r="99" spans="1:13">
      <c r="A99" s="4">
        <v>95</v>
      </c>
      <c r="B99" s="11" t="e">
        <f>VLOOKUP(A99,贴主险建议书!A:B,2,0)</f>
        <v>#N/A</v>
      </c>
      <c r="L99" s="22"/>
      <c r="M99" s="22"/>
    </row>
    <row r="100" spans="1:13">
      <c r="A100" s="4">
        <v>96</v>
      </c>
      <c r="B100" s="11" t="e">
        <f>VLOOKUP(A100,贴主险建议书!A:B,2,0)</f>
        <v>#N/A</v>
      </c>
      <c r="L100" s="22"/>
      <c r="M100" s="22"/>
    </row>
    <row r="101" spans="1:13">
      <c r="A101" s="4">
        <v>97</v>
      </c>
      <c r="B101" s="11" t="e">
        <f>VLOOKUP(A101,贴主险建议书!A:B,2,0)</f>
        <v>#N/A</v>
      </c>
      <c r="L101" s="22"/>
      <c r="M101" s="22"/>
    </row>
    <row r="102" spans="1:13">
      <c r="A102" s="4">
        <v>98</v>
      </c>
      <c r="B102" s="11" t="e">
        <f>VLOOKUP(A102,贴主险建议书!A:B,2,0)</f>
        <v>#N/A</v>
      </c>
      <c r="L102" s="22"/>
      <c r="M102" s="22"/>
    </row>
    <row r="103" spans="1:13">
      <c r="A103" s="4">
        <v>99</v>
      </c>
      <c r="B103" s="11" t="e">
        <f>VLOOKUP(A103,贴主险建议书!A:B,2,0)</f>
        <v>#N/A</v>
      </c>
      <c r="L103" s="22"/>
      <c r="M103" s="22"/>
    </row>
    <row r="104" spans="1:13">
      <c r="A104" s="4">
        <v>100</v>
      </c>
      <c r="B104" s="11" t="e">
        <f>VLOOKUP(A104,贴主险建议书!A:B,2,0)</f>
        <v>#N/A</v>
      </c>
      <c r="L104" s="22"/>
      <c r="M104" s="22"/>
    </row>
    <row r="105" spans="1:13">
      <c r="A105" s="4">
        <v>101</v>
      </c>
      <c r="B105" s="11" t="e">
        <f>VLOOKUP(A105,贴主险建议书!A:B,2,0)</f>
        <v>#N/A</v>
      </c>
      <c r="L105" s="22"/>
      <c r="M105" s="22"/>
    </row>
    <row r="106" spans="1:13">
      <c r="A106" s="4">
        <v>102</v>
      </c>
      <c r="B106" s="11" t="e">
        <f>VLOOKUP(A106,贴主险建议书!A:B,2,0)</f>
        <v>#N/A</v>
      </c>
      <c r="L106" s="22"/>
      <c r="M106" s="22"/>
    </row>
    <row r="107" spans="1:13">
      <c r="A107" s="4">
        <v>103</v>
      </c>
      <c r="B107" s="11" t="e">
        <f>VLOOKUP(A107,贴主险建议书!A:B,2,0)</f>
        <v>#N/A</v>
      </c>
      <c r="L107" s="22"/>
      <c r="M107" s="22"/>
    </row>
    <row r="108" spans="1:13">
      <c r="A108" s="4">
        <v>104</v>
      </c>
      <c r="B108" s="11" t="e">
        <f>VLOOKUP(A108,贴主险建议书!A:B,2,0)</f>
        <v>#N/A</v>
      </c>
      <c r="L108" s="22"/>
      <c r="M108" s="22"/>
    </row>
    <row r="109" spans="1:13">
      <c r="A109" s="4">
        <v>105</v>
      </c>
      <c r="B109" s="11" t="e">
        <f>VLOOKUP(A109,贴主险建议书!A:B,2,0)</f>
        <v>#N/A</v>
      </c>
      <c r="L109" s="22"/>
      <c r="M109" s="22"/>
    </row>
  </sheetData>
  <mergeCells count="12">
    <mergeCell ref="T3:U3"/>
    <mergeCell ref="V3:W3"/>
    <mergeCell ref="A3:A4"/>
    <mergeCell ref="B3:B4"/>
    <mergeCell ref="O1:Q2"/>
    <mergeCell ref="I1:N2"/>
    <mergeCell ref="R1:S2"/>
    <mergeCell ref="A2:H2"/>
    <mergeCell ref="F3:H3"/>
    <mergeCell ref="I3:N3"/>
    <mergeCell ref="O3:P3"/>
    <mergeCell ref="R3:S3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9"/>
  <sheetViews>
    <sheetView topLeftCell="A91" zoomScale="130" zoomScaleNormal="130" workbookViewId="0">
      <selection activeCell="E119" sqref="E119"/>
    </sheetView>
  </sheetViews>
  <sheetFormatPr defaultColWidth="9.44140625" defaultRowHeight="13.8"/>
  <cols>
    <col min="1" max="16384" width="9.44140625" style="1"/>
  </cols>
  <sheetData>
    <row r="1" spans="1:18" ht="19.95" customHeight="1">
      <c r="A1" s="136" t="s">
        <v>38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8" ht="14.25" customHeight="1">
      <c r="A2" s="140" t="s">
        <v>39</v>
      </c>
      <c r="B2" s="140" t="s">
        <v>40</v>
      </c>
      <c r="C2" s="140" t="s">
        <v>41</v>
      </c>
      <c r="D2" s="140" t="s">
        <v>42</v>
      </c>
      <c r="E2" s="137" t="s">
        <v>43</v>
      </c>
      <c r="F2" s="138"/>
      <c r="G2" s="138"/>
      <c r="H2" s="139"/>
      <c r="I2" s="137" t="s">
        <v>44</v>
      </c>
      <c r="J2" s="138"/>
      <c r="K2" s="138"/>
      <c r="L2" s="138"/>
      <c r="M2" s="138"/>
      <c r="N2" s="139"/>
      <c r="O2" s="137" t="s">
        <v>45</v>
      </c>
      <c r="P2" s="138"/>
      <c r="Q2" s="139"/>
    </row>
    <row r="3" spans="1:18" ht="42.75" customHeight="1">
      <c r="A3" s="141"/>
      <c r="B3" s="141"/>
      <c r="C3" s="141"/>
      <c r="D3" s="141"/>
      <c r="E3" s="140" t="s">
        <v>46</v>
      </c>
      <c r="F3" s="140" t="s">
        <v>47</v>
      </c>
      <c r="G3" s="140" t="s">
        <v>48</v>
      </c>
      <c r="H3" s="140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140" t="s">
        <v>47</v>
      </c>
      <c r="O3" s="140" t="s">
        <v>55</v>
      </c>
      <c r="P3" s="140" t="s">
        <v>56</v>
      </c>
      <c r="Q3" s="140" t="s">
        <v>57</v>
      </c>
    </row>
    <row r="4" spans="1:18" ht="28.5" customHeight="1">
      <c r="A4" s="142"/>
      <c r="B4" s="142"/>
      <c r="C4" s="142"/>
      <c r="D4" s="142"/>
      <c r="E4" s="142"/>
      <c r="F4" s="142"/>
      <c r="G4" s="142"/>
      <c r="H4" s="142"/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142"/>
      <c r="O4" s="142"/>
      <c r="P4" s="142"/>
      <c r="Q4" s="142"/>
    </row>
    <row r="5" spans="1:18" ht="12.75" customHeight="1">
      <c r="A5" s="125">
        <v>1</v>
      </c>
      <c r="B5" s="125">
        <v>61</v>
      </c>
      <c r="C5" s="125">
        <v>50000</v>
      </c>
      <c r="D5" s="125">
        <v>50100</v>
      </c>
      <c r="E5" s="125">
        <v>11051</v>
      </c>
      <c r="F5" s="125">
        <v>70000</v>
      </c>
      <c r="G5" s="125">
        <v>395</v>
      </c>
      <c r="H5" s="125">
        <v>395</v>
      </c>
      <c r="I5" s="75">
        <v>100</v>
      </c>
      <c r="J5" s="75">
        <v>2</v>
      </c>
      <c r="K5" s="75">
        <v>395</v>
      </c>
      <c r="L5" s="75">
        <v>489</v>
      </c>
      <c r="M5" s="75">
        <v>492</v>
      </c>
      <c r="N5" s="125">
        <v>140</v>
      </c>
      <c r="O5" s="125">
        <v>11528</v>
      </c>
      <c r="P5" s="143" t="s">
        <v>64</v>
      </c>
      <c r="Q5" s="125">
        <v>70140</v>
      </c>
      <c r="R5" s="144"/>
    </row>
    <row r="6" spans="1:18" ht="12.75" customHeight="1">
      <c r="A6" s="126"/>
      <c r="B6" s="126"/>
      <c r="C6" s="126"/>
      <c r="D6" s="126"/>
      <c r="E6" s="126"/>
      <c r="F6" s="126"/>
      <c r="G6" s="126"/>
      <c r="H6" s="126"/>
      <c r="I6" s="75">
        <v>100</v>
      </c>
      <c r="J6" s="75">
        <v>0</v>
      </c>
      <c r="K6" s="75">
        <v>4</v>
      </c>
      <c r="L6" s="75">
        <v>0</v>
      </c>
      <c r="M6" s="75">
        <v>477</v>
      </c>
      <c r="N6" s="126"/>
      <c r="O6" s="126"/>
      <c r="P6" s="126"/>
      <c r="Q6" s="126"/>
      <c r="R6" s="144"/>
    </row>
    <row r="7" spans="1:18" ht="12.75" customHeight="1">
      <c r="A7" s="128">
        <v>2</v>
      </c>
      <c r="B7" s="128">
        <v>62</v>
      </c>
      <c r="C7" s="128">
        <v>50000</v>
      </c>
      <c r="D7" s="128">
        <v>100100</v>
      </c>
      <c r="E7" s="128">
        <v>28025</v>
      </c>
      <c r="F7" s="128">
        <v>120000</v>
      </c>
      <c r="G7" s="128">
        <v>954</v>
      </c>
      <c r="H7" s="128">
        <v>1349</v>
      </c>
      <c r="I7" s="76">
        <v>0</v>
      </c>
      <c r="J7" s="76">
        <v>0</v>
      </c>
      <c r="K7" s="76">
        <v>954</v>
      </c>
      <c r="L7" s="76">
        <v>944</v>
      </c>
      <c r="M7" s="76">
        <v>1451</v>
      </c>
      <c r="N7" s="128">
        <v>594</v>
      </c>
      <c r="O7" s="128">
        <v>29462</v>
      </c>
      <c r="P7" s="130">
        <v>155.56</v>
      </c>
      <c r="Q7" s="128">
        <v>120594</v>
      </c>
      <c r="R7" s="144"/>
    </row>
    <row r="8" spans="1:18" ht="12.75" customHeight="1">
      <c r="A8" s="129"/>
      <c r="B8" s="129"/>
      <c r="C8" s="129"/>
      <c r="D8" s="129"/>
      <c r="E8" s="129"/>
      <c r="F8" s="129"/>
      <c r="G8" s="129"/>
      <c r="H8" s="129"/>
      <c r="I8" s="76">
        <v>100</v>
      </c>
      <c r="J8" s="76">
        <v>0</v>
      </c>
      <c r="K8" s="76">
        <v>10</v>
      </c>
      <c r="L8" s="76">
        <v>0</v>
      </c>
      <c r="M8" s="76">
        <v>1436</v>
      </c>
      <c r="N8" s="129"/>
      <c r="O8" s="129"/>
      <c r="P8" s="129"/>
      <c r="Q8" s="129"/>
      <c r="R8" s="144"/>
    </row>
    <row r="9" spans="1:18" ht="12.75" customHeight="1">
      <c r="A9" s="125">
        <v>3</v>
      </c>
      <c r="B9" s="125">
        <v>63</v>
      </c>
      <c r="C9" s="125">
        <v>50000</v>
      </c>
      <c r="D9" s="125">
        <v>150100</v>
      </c>
      <c r="E9" s="125">
        <v>51592</v>
      </c>
      <c r="F9" s="125">
        <v>180000</v>
      </c>
      <c r="G9" s="125">
        <v>1522</v>
      </c>
      <c r="H9" s="125">
        <v>2871</v>
      </c>
      <c r="I9" s="75">
        <v>0</v>
      </c>
      <c r="J9" s="75">
        <v>0</v>
      </c>
      <c r="K9" s="75">
        <v>1522</v>
      </c>
      <c r="L9" s="75">
        <v>1507</v>
      </c>
      <c r="M9" s="75">
        <v>3000</v>
      </c>
      <c r="N9" s="125">
        <v>1739</v>
      </c>
      <c r="O9" s="125">
        <v>54562</v>
      </c>
      <c r="P9" s="127">
        <v>85.2</v>
      </c>
      <c r="Q9" s="125">
        <v>181739</v>
      </c>
      <c r="R9" s="144"/>
    </row>
    <row r="10" spans="1:18" ht="12.75" customHeight="1">
      <c r="A10" s="126"/>
      <c r="B10" s="126"/>
      <c r="C10" s="126"/>
      <c r="D10" s="126"/>
      <c r="E10" s="126"/>
      <c r="F10" s="126"/>
      <c r="G10" s="126"/>
      <c r="H10" s="126"/>
      <c r="I10" s="75">
        <v>100</v>
      </c>
      <c r="J10" s="75">
        <v>0</v>
      </c>
      <c r="K10" s="75">
        <v>15</v>
      </c>
      <c r="L10" s="75">
        <v>1</v>
      </c>
      <c r="M10" s="75">
        <v>2970</v>
      </c>
      <c r="N10" s="126"/>
      <c r="O10" s="126"/>
      <c r="P10" s="126"/>
      <c r="Q10" s="126"/>
      <c r="R10" s="144"/>
    </row>
    <row r="11" spans="1:18" ht="12.75" customHeight="1">
      <c r="A11" s="128">
        <v>4</v>
      </c>
      <c r="B11" s="128">
        <v>64</v>
      </c>
      <c r="C11" s="128">
        <v>50000</v>
      </c>
      <c r="D11" s="128">
        <v>200100</v>
      </c>
      <c r="E11" s="128">
        <v>85924</v>
      </c>
      <c r="F11" s="128">
        <v>240000</v>
      </c>
      <c r="G11" s="128">
        <v>2100</v>
      </c>
      <c r="H11" s="128">
        <v>4971</v>
      </c>
      <c r="I11" s="76">
        <v>0</v>
      </c>
      <c r="J11" s="76">
        <v>0</v>
      </c>
      <c r="K11" s="76">
        <v>2100</v>
      </c>
      <c r="L11" s="76">
        <v>2079</v>
      </c>
      <c r="M11" s="76">
        <v>5165</v>
      </c>
      <c r="N11" s="128">
        <v>3566</v>
      </c>
      <c r="O11" s="128">
        <v>91037</v>
      </c>
      <c r="P11" s="130">
        <v>66.849999999999994</v>
      </c>
      <c r="Q11" s="128">
        <v>243566</v>
      </c>
      <c r="R11" s="144"/>
    </row>
    <row r="12" spans="1:18" ht="12.75" customHeight="1">
      <c r="A12" s="129"/>
      <c r="B12" s="129"/>
      <c r="C12" s="129"/>
      <c r="D12" s="129"/>
      <c r="E12" s="129"/>
      <c r="F12" s="129"/>
      <c r="G12" s="129"/>
      <c r="H12" s="129"/>
      <c r="I12" s="76">
        <v>100</v>
      </c>
      <c r="J12" s="76">
        <v>0</v>
      </c>
      <c r="K12" s="76">
        <v>21</v>
      </c>
      <c r="L12" s="76">
        <v>3</v>
      </c>
      <c r="M12" s="76">
        <v>5114</v>
      </c>
      <c r="N12" s="129"/>
      <c r="O12" s="129"/>
      <c r="P12" s="129"/>
      <c r="Q12" s="129"/>
      <c r="R12" s="144"/>
    </row>
    <row r="13" spans="1:18" ht="12.75" customHeight="1">
      <c r="A13" s="125">
        <v>5</v>
      </c>
      <c r="B13" s="125">
        <v>65</v>
      </c>
      <c r="C13" s="125">
        <v>50000</v>
      </c>
      <c r="D13" s="125">
        <v>250100</v>
      </c>
      <c r="E13" s="125">
        <v>123248</v>
      </c>
      <c r="F13" s="125">
        <v>300000</v>
      </c>
      <c r="G13" s="125">
        <v>2687</v>
      </c>
      <c r="H13" s="125">
        <v>7658</v>
      </c>
      <c r="I13" s="75">
        <v>0</v>
      </c>
      <c r="J13" s="75">
        <v>0</v>
      </c>
      <c r="K13" s="75">
        <v>2687</v>
      </c>
      <c r="L13" s="75">
        <v>2660</v>
      </c>
      <c r="M13" s="75">
        <v>7974</v>
      </c>
      <c r="N13" s="125">
        <v>6085</v>
      </c>
      <c r="O13" s="125">
        <v>131143</v>
      </c>
      <c r="P13" s="127">
        <v>44.05</v>
      </c>
      <c r="Q13" s="125">
        <v>306085</v>
      </c>
      <c r="R13" s="144"/>
    </row>
    <row r="14" spans="1:18" ht="12.75" customHeight="1">
      <c r="A14" s="126"/>
      <c r="B14" s="126"/>
      <c r="C14" s="126"/>
      <c r="D14" s="126"/>
      <c r="E14" s="126"/>
      <c r="F14" s="126"/>
      <c r="G14" s="126"/>
      <c r="H14" s="126"/>
      <c r="I14" s="75">
        <v>100</v>
      </c>
      <c r="J14" s="75">
        <v>0</v>
      </c>
      <c r="K14" s="75">
        <v>27</v>
      </c>
      <c r="L14" s="75">
        <v>6</v>
      </c>
      <c r="M14" s="75">
        <v>7894</v>
      </c>
      <c r="N14" s="126"/>
      <c r="O14" s="126"/>
      <c r="P14" s="126"/>
      <c r="Q14" s="126"/>
      <c r="R14" s="144"/>
    </row>
    <row r="15" spans="1:18" ht="12.75" customHeight="1">
      <c r="A15" s="128">
        <v>6</v>
      </c>
      <c r="B15" s="128">
        <v>66</v>
      </c>
      <c r="C15" s="128">
        <v>50000</v>
      </c>
      <c r="D15" s="128">
        <v>300100</v>
      </c>
      <c r="E15" s="128">
        <v>163662</v>
      </c>
      <c r="F15" s="128">
        <v>360000</v>
      </c>
      <c r="G15" s="128">
        <v>3284</v>
      </c>
      <c r="H15" s="128">
        <v>10942</v>
      </c>
      <c r="I15" s="76">
        <v>0</v>
      </c>
      <c r="J15" s="76">
        <v>0</v>
      </c>
      <c r="K15" s="76">
        <v>3284</v>
      </c>
      <c r="L15" s="76">
        <v>3328</v>
      </c>
      <c r="M15" s="76">
        <v>11532</v>
      </c>
      <c r="N15" s="128">
        <v>9310</v>
      </c>
      <c r="O15" s="128">
        <v>175194</v>
      </c>
      <c r="P15" s="130">
        <v>33.590000000000003</v>
      </c>
      <c r="Q15" s="128">
        <v>369310</v>
      </c>
      <c r="R15" s="144"/>
    </row>
    <row r="16" spans="1:18" ht="12.75" customHeight="1">
      <c r="A16" s="129"/>
      <c r="B16" s="129"/>
      <c r="C16" s="129"/>
      <c r="D16" s="129"/>
      <c r="E16" s="129"/>
      <c r="F16" s="129"/>
      <c r="G16" s="129"/>
      <c r="H16" s="129"/>
      <c r="I16" s="76">
        <v>100</v>
      </c>
      <c r="J16" s="76">
        <v>78</v>
      </c>
      <c r="K16" s="76">
        <v>33</v>
      </c>
      <c r="L16" s="76">
        <v>10</v>
      </c>
      <c r="M16" s="76">
        <v>11532</v>
      </c>
      <c r="N16" s="129"/>
      <c r="O16" s="129"/>
      <c r="P16" s="129"/>
      <c r="Q16" s="129"/>
      <c r="R16" s="144"/>
    </row>
    <row r="17" spans="1:18" ht="12.75" customHeight="1">
      <c r="A17" s="125">
        <v>7</v>
      </c>
      <c r="B17" s="125">
        <v>67</v>
      </c>
      <c r="C17" s="125">
        <v>50000</v>
      </c>
      <c r="D17" s="125">
        <v>350100</v>
      </c>
      <c r="E17" s="125">
        <v>207325</v>
      </c>
      <c r="F17" s="125">
        <v>420000</v>
      </c>
      <c r="G17" s="125">
        <v>3890</v>
      </c>
      <c r="H17" s="125">
        <v>14831</v>
      </c>
      <c r="I17" s="75">
        <v>0</v>
      </c>
      <c r="J17" s="75">
        <v>0</v>
      </c>
      <c r="K17" s="75">
        <v>3890</v>
      </c>
      <c r="L17" s="75">
        <v>3884</v>
      </c>
      <c r="M17" s="75">
        <v>15747</v>
      </c>
      <c r="N17" s="125">
        <v>13250</v>
      </c>
      <c r="O17" s="125">
        <v>223071</v>
      </c>
      <c r="P17" s="127">
        <v>27.33</v>
      </c>
      <c r="Q17" s="125">
        <v>433250</v>
      </c>
      <c r="R17" s="144"/>
    </row>
    <row r="18" spans="1:18" ht="12.75" customHeight="1">
      <c r="A18" s="126"/>
      <c r="B18" s="126"/>
      <c r="C18" s="126"/>
      <c r="D18" s="126"/>
      <c r="E18" s="126"/>
      <c r="F18" s="126"/>
      <c r="G18" s="126"/>
      <c r="H18" s="126"/>
      <c r="I18" s="75">
        <v>100</v>
      </c>
      <c r="J18" s="75">
        <v>33</v>
      </c>
      <c r="K18" s="75">
        <v>39</v>
      </c>
      <c r="L18" s="75">
        <v>14</v>
      </c>
      <c r="M18" s="75">
        <v>15747</v>
      </c>
      <c r="N18" s="126"/>
      <c r="O18" s="126"/>
      <c r="P18" s="126"/>
      <c r="Q18" s="126"/>
      <c r="R18" s="144"/>
    </row>
    <row r="19" spans="1:18" ht="12.75" customHeight="1">
      <c r="A19" s="128">
        <v>8</v>
      </c>
      <c r="B19" s="128">
        <v>68</v>
      </c>
      <c r="C19" s="128">
        <v>50000</v>
      </c>
      <c r="D19" s="128">
        <v>400100</v>
      </c>
      <c r="E19" s="128">
        <v>254299</v>
      </c>
      <c r="F19" s="128">
        <v>480000</v>
      </c>
      <c r="G19" s="128">
        <v>4505</v>
      </c>
      <c r="H19" s="128">
        <v>19337</v>
      </c>
      <c r="I19" s="76">
        <v>0</v>
      </c>
      <c r="J19" s="76">
        <v>0</v>
      </c>
      <c r="K19" s="76">
        <v>4505</v>
      </c>
      <c r="L19" s="76">
        <v>4499</v>
      </c>
      <c r="M19" s="76">
        <v>20697</v>
      </c>
      <c r="N19" s="128">
        <v>17918</v>
      </c>
      <c r="O19" s="128">
        <v>274997</v>
      </c>
      <c r="P19" s="130">
        <v>23.28</v>
      </c>
      <c r="Q19" s="128">
        <v>497918</v>
      </c>
      <c r="R19" s="144"/>
    </row>
    <row r="20" spans="1:18" ht="12.75" customHeight="1">
      <c r="A20" s="129"/>
      <c r="B20" s="129"/>
      <c r="C20" s="129"/>
      <c r="D20" s="129"/>
      <c r="E20" s="129"/>
      <c r="F20" s="129"/>
      <c r="G20" s="129"/>
      <c r="H20" s="129"/>
      <c r="I20" s="76">
        <v>100</v>
      </c>
      <c r="J20" s="76">
        <v>39</v>
      </c>
      <c r="K20" s="76">
        <v>45</v>
      </c>
      <c r="L20" s="76">
        <v>21</v>
      </c>
      <c r="M20" s="76">
        <v>20697</v>
      </c>
      <c r="N20" s="129"/>
      <c r="O20" s="129"/>
      <c r="P20" s="129"/>
      <c r="Q20" s="129"/>
      <c r="R20" s="144"/>
    </row>
    <row r="21" spans="1:18" ht="12.75" customHeight="1">
      <c r="A21" s="125">
        <v>9</v>
      </c>
      <c r="B21" s="125">
        <v>69</v>
      </c>
      <c r="C21" s="125">
        <v>0</v>
      </c>
      <c r="D21" s="125">
        <v>400100</v>
      </c>
      <c r="E21" s="125">
        <v>262707</v>
      </c>
      <c r="F21" s="125">
        <v>480000</v>
      </c>
      <c r="G21" s="125">
        <v>4578</v>
      </c>
      <c r="H21" s="125">
        <v>23914</v>
      </c>
      <c r="I21" s="75">
        <v>0</v>
      </c>
      <c r="J21" s="75">
        <v>0</v>
      </c>
      <c r="K21" s="75">
        <v>4578</v>
      </c>
      <c r="L21" s="75">
        <v>4577</v>
      </c>
      <c r="M21" s="75">
        <v>25866</v>
      </c>
      <c r="N21" s="125">
        <v>23324</v>
      </c>
      <c r="O21" s="125">
        <v>288573</v>
      </c>
      <c r="P21" s="127">
        <v>4.9400000000000004</v>
      </c>
      <c r="Q21" s="125">
        <v>503324</v>
      </c>
      <c r="R21" s="144"/>
    </row>
    <row r="22" spans="1:18" ht="12.75" customHeight="1">
      <c r="A22" s="126"/>
      <c r="B22" s="126"/>
      <c r="C22" s="126"/>
      <c r="D22" s="126"/>
      <c r="E22" s="126"/>
      <c r="F22" s="126"/>
      <c r="G22" s="126"/>
      <c r="H22" s="126"/>
      <c r="I22" s="75">
        <v>100</v>
      </c>
      <c r="J22" s="75">
        <v>45</v>
      </c>
      <c r="K22" s="75">
        <v>46</v>
      </c>
      <c r="L22" s="75">
        <v>28</v>
      </c>
      <c r="M22" s="75">
        <v>25866</v>
      </c>
      <c r="N22" s="126"/>
      <c r="O22" s="126"/>
      <c r="P22" s="126"/>
      <c r="Q22" s="126"/>
      <c r="R22" s="144"/>
    </row>
    <row r="23" spans="1:18" ht="12.75" customHeight="1">
      <c r="A23" s="128">
        <v>10</v>
      </c>
      <c r="B23" s="128">
        <v>70</v>
      </c>
      <c r="C23" s="128">
        <v>0</v>
      </c>
      <c r="D23" s="128">
        <v>400100</v>
      </c>
      <c r="E23" s="128">
        <v>384713</v>
      </c>
      <c r="F23" s="128">
        <v>480000</v>
      </c>
      <c r="G23" s="128">
        <v>4651</v>
      </c>
      <c r="H23" s="128">
        <v>28565</v>
      </c>
      <c r="I23" s="76">
        <v>0</v>
      </c>
      <c r="J23" s="76">
        <v>0</v>
      </c>
      <c r="K23" s="76">
        <v>4651</v>
      </c>
      <c r="L23" s="76">
        <v>4650</v>
      </c>
      <c r="M23" s="76">
        <v>31256</v>
      </c>
      <c r="N23" s="128">
        <v>28817</v>
      </c>
      <c r="O23" s="128">
        <v>415969</v>
      </c>
      <c r="P23" s="130">
        <v>44.15</v>
      </c>
      <c r="Q23" s="128">
        <v>508817</v>
      </c>
      <c r="R23" s="144"/>
    </row>
    <row r="24" spans="1:18" ht="12.75" customHeight="1">
      <c r="A24" s="129"/>
      <c r="B24" s="129"/>
      <c r="C24" s="129"/>
      <c r="D24" s="129"/>
      <c r="E24" s="129"/>
      <c r="F24" s="129"/>
      <c r="G24" s="129"/>
      <c r="H24" s="129"/>
      <c r="I24" s="76">
        <v>100</v>
      </c>
      <c r="J24" s="76">
        <v>46</v>
      </c>
      <c r="K24" s="76">
        <v>47</v>
      </c>
      <c r="L24" s="76">
        <v>36</v>
      </c>
      <c r="M24" s="76">
        <v>31256</v>
      </c>
      <c r="N24" s="129"/>
      <c r="O24" s="129"/>
      <c r="P24" s="129"/>
      <c r="Q24" s="129"/>
      <c r="R24" s="144"/>
    </row>
    <row r="25" spans="1:18" ht="12.75" customHeight="1">
      <c r="A25" s="125">
        <v>11</v>
      </c>
      <c r="B25" s="125">
        <v>71</v>
      </c>
      <c r="C25" s="125">
        <v>0</v>
      </c>
      <c r="D25" s="125">
        <v>400100</v>
      </c>
      <c r="E25" s="125">
        <v>390828</v>
      </c>
      <c r="F25" s="125">
        <v>480000</v>
      </c>
      <c r="G25" s="125">
        <v>4724</v>
      </c>
      <c r="H25" s="125">
        <v>33290</v>
      </c>
      <c r="I25" s="75">
        <v>0</v>
      </c>
      <c r="J25" s="75">
        <v>0</v>
      </c>
      <c r="K25" s="75">
        <v>4724</v>
      </c>
      <c r="L25" s="75">
        <v>4724</v>
      </c>
      <c r="M25" s="75">
        <v>36874</v>
      </c>
      <c r="N25" s="125">
        <v>34398</v>
      </c>
      <c r="O25" s="125">
        <v>427702</v>
      </c>
      <c r="P25" s="127">
        <v>2.82</v>
      </c>
      <c r="Q25" s="125">
        <v>514398</v>
      </c>
      <c r="R25" s="144"/>
    </row>
    <row r="26" spans="1:18" ht="12.75" customHeight="1">
      <c r="A26" s="126"/>
      <c r="B26" s="126"/>
      <c r="C26" s="126"/>
      <c r="D26" s="126"/>
      <c r="E26" s="126"/>
      <c r="F26" s="126"/>
      <c r="G26" s="126"/>
      <c r="H26" s="126"/>
      <c r="I26" s="75">
        <v>100</v>
      </c>
      <c r="J26" s="75">
        <v>47</v>
      </c>
      <c r="K26" s="75">
        <v>47</v>
      </c>
      <c r="L26" s="75">
        <v>43</v>
      </c>
      <c r="M26" s="75">
        <v>36874</v>
      </c>
      <c r="N26" s="126"/>
      <c r="O26" s="126"/>
      <c r="P26" s="126"/>
      <c r="Q26" s="126"/>
      <c r="R26" s="144"/>
    </row>
    <row r="27" spans="1:18" ht="12.75" customHeight="1">
      <c r="A27" s="128">
        <v>12</v>
      </c>
      <c r="B27" s="128">
        <v>72</v>
      </c>
      <c r="C27" s="128">
        <v>0</v>
      </c>
      <c r="D27" s="128">
        <v>400100</v>
      </c>
      <c r="E27" s="128">
        <v>397038</v>
      </c>
      <c r="F27" s="128">
        <v>480000</v>
      </c>
      <c r="G27" s="128">
        <v>4799</v>
      </c>
      <c r="H27" s="128">
        <v>38088</v>
      </c>
      <c r="I27" s="76">
        <v>0</v>
      </c>
      <c r="J27" s="76">
        <v>0</v>
      </c>
      <c r="K27" s="76">
        <v>4799</v>
      </c>
      <c r="L27" s="76">
        <v>4798</v>
      </c>
      <c r="M27" s="76">
        <v>42729</v>
      </c>
      <c r="N27" s="128">
        <v>40067</v>
      </c>
      <c r="O27" s="128">
        <v>439767</v>
      </c>
      <c r="P27" s="130">
        <v>2.82</v>
      </c>
      <c r="Q27" s="128">
        <v>520067</v>
      </c>
      <c r="R27" s="144"/>
    </row>
    <row r="28" spans="1:18" ht="12.75" customHeight="1">
      <c r="A28" s="129"/>
      <c r="B28" s="129"/>
      <c r="C28" s="129"/>
      <c r="D28" s="129"/>
      <c r="E28" s="129"/>
      <c r="F28" s="129"/>
      <c r="G28" s="129"/>
      <c r="H28" s="129"/>
      <c r="I28" s="76">
        <v>100</v>
      </c>
      <c r="J28" s="76">
        <v>47</v>
      </c>
      <c r="K28" s="76">
        <v>48</v>
      </c>
      <c r="L28" s="76">
        <v>49</v>
      </c>
      <c r="M28" s="76">
        <v>42729</v>
      </c>
      <c r="N28" s="129"/>
      <c r="O28" s="129"/>
      <c r="P28" s="129"/>
      <c r="Q28" s="129"/>
      <c r="R28" s="144"/>
    </row>
    <row r="29" spans="1:18" ht="12.75" customHeight="1">
      <c r="A29" s="125">
        <v>13</v>
      </c>
      <c r="B29" s="125">
        <v>73</v>
      </c>
      <c r="C29" s="125">
        <v>0</v>
      </c>
      <c r="D29" s="125">
        <v>400100</v>
      </c>
      <c r="E29" s="125">
        <v>403280</v>
      </c>
      <c r="F29" s="125">
        <v>480000</v>
      </c>
      <c r="G29" s="125">
        <v>4874</v>
      </c>
      <c r="H29" s="125">
        <v>42963</v>
      </c>
      <c r="I29" s="75">
        <v>0</v>
      </c>
      <c r="J29" s="75">
        <v>0</v>
      </c>
      <c r="K29" s="75">
        <v>4874</v>
      </c>
      <c r="L29" s="75">
        <v>4873</v>
      </c>
      <c r="M29" s="75">
        <v>48831</v>
      </c>
      <c r="N29" s="125">
        <v>45826</v>
      </c>
      <c r="O29" s="125">
        <v>452112</v>
      </c>
      <c r="P29" s="127">
        <v>2.81</v>
      </c>
      <c r="Q29" s="125">
        <v>525826</v>
      </c>
      <c r="R29" s="144"/>
    </row>
    <row r="30" spans="1:18" ht="12.75" customHeight="1">
      <c r="A30" s="126"/>
      <c r="B30" s="126"/>
      <c r="C30" s="126"/>
      <c r="D30" s="126"/>
      <c r="E30" s="126"/>
      <c r="F30" s="126"/>
      <c r="G30" s="126"/>
      <c r="H30" s="126"/>
      <c r="I30" s="75">
        <v>100</v>
      </c>
      <c r="J30" s="75">
        <v>48</v>
      </c>
      <c r="K30" s="75">
        <v>49</v>
      </c>
      <c r="L30" s="75">
        <v>52</v>
      </c>
      <c r="M30" s="75">
        <v>48831</v>
      </c>
      <c r="N30" s="126"/>
      <c r="O30" s="126"/>
      <c r="P30" s="126"/>
      <c r="Q30" s="126"/>
      <c r="R30" s="144"/>
    </row>
    <row r="31" spans="1:18" ht="12.75" customHeight="1">
      <c r="A31" s="128">
        <v>14</v>
      </c>
      <c r="B31" s="128">
        <v>74</v>
      </c>
      <c r="C31" s="128">
        <v>0</v>
      </c>
      <c r="D31" s="128">
        <v>400100</v>
      </c>
      <c r="E31" s="128">
        <v>409554</v>
      </c>
      <c r="F31" s="128">
        <v>480000</v>
      </c>
      <c r="G31" s="128">
        <v>4950</v>
      </c>
      <c r="H31" s="128">
        <v>47912</v>
      </c>
      <c r="I31" s="76">
        <v>0</v>
      </c>
      <c r="J31" s="76">
        <v>0</v>
      </c>
      <c r="K31" s="76">
        <v>4950</v>
      </c>
      <c r="L31" s="76">
        <v>4949</v>
      </c>
      <c r="M31" s="76">
        <v>55193</v>
      </c>
      <c r="N31" s="128">
        <v>51675</v>
      </c>
      <c r="O31" s="128">
        <v>464747</v>
      </c>
      <c r="P31" s="130">
        <v>2.79</v>
      </c>
      <c r="Q31" s="128">
        <v>531675</v>
      </c>
      <c r="R31" s="144"/>
    </row>
    <row r="32" spans="1:18" ht="12.75" customHeight="1">
      <c r="A32" s="129"/>
      <c r="B32" s="129"/>
      <c r="C32" s="129"/>
      <c r="D32" s="129"/>
      <c r="E32" s="129"/>
      <c r="F32" s="129"/>
      <c r="G32" s="129"/>
      <c r="H32" s="129"/>
      <c r="I32" s="76">
        <v>100</v>
      </c>
      <c r="J32" s="76">
        <v>49</v>
      </c>
      <c r="K32" s="76">
        <v>50</v>
      </c>
      <c r="L32" s="76">
        <v>51</v>
      </c>
      <c r="M32" s="76">
        <v>55193</v>
      </c>
      <c r="N32" s="129"/>
      <c r="O32" s="129"/>
      <c r="P32" s="129"/>
      <c r="Q32" s="129"/>
      <c r="R32" s="144"/>
    </row>
    <row r="33" spans="1:18" ht="12.75" customHeight="1">
      <c r="A33" s="131" t="s">
        <v>92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</row>
    <row r="34" spans="1:18" ht="12.75" customHeight="1">
      <c r="A34" s="133" t="s">
        <v>93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</row>
    <row r="35" spans="1:18" ht="12.75" customHeight="1">
      <c r="A35" s="134" t="s">
        <v>66</v>
      </c>
      <c r="B35" s="134" t="s">
        <v>67</v>
      </c>
      <c r="C35" s="134" t="s">
        <v>68</v>
      </c>
      <c r="D35" s="134" t="s">
        <v>69</v>
      </c>
      <c r="E35" s="134" t="s">
        <v>70</v>
      </c>
      <c r="F35" s="135"/>
      <c r="G35" s="135"/>
      <c r="H35" s="135"/>
      <c r="I35" s="134" t="s">
        <v>71</v>
      </c>
      <c r="J35" s="135"/>
      <c r="K35" s="135"/>
      <c r="L35" s="135"/>
      <c r="M35" s="135"/>
      <c r="N35" s="135"/>
      <c r="O35" s="134" t="s">
        <v>72</v>
      </c>
      <c r="P35" s="135"/>
      <c r="Q35" s="135"/>
      <c r="R35" s="144"/>
    </row>
    <row r="36" spans="1:18" ht="12.75" customHeight="1">
      <c r="A36" s="135"/>
      <c r="B36" s="135"/>
      <c r="C36" s="135"/>
      <c r="D36" s="135"/>
      <c r="E36" s="134" t="s">
        <v>73</v>
      </c>
      <c r="F36" s="134" t="s">
        <v>74</v>
      </c>
      <c r="G36" s="134" t="s">
        <v>75</v>
      </c>
      <c r="H36" s="134" t="s">
        <v>76</v>
      </c>
      <c r="I36" s="78" t="s">
        <v>77</v>
      </c>
      <c r="J36" s="78" t="s">
        <v>78</v>
      </c>
      <c r="K36" s="78" t="s">
        <v>79</v>
      </c>
      <c r="L36" s="78" t="s">
        <v>80</v>
      </c>
      <c r="M36" s="78" t="s">
        <v>81</v>
      </c>
      <c r="N36" s="134" t="s">
        <v>74</v>
      </c>
      <c r="O36" s="134" t="s">
        <v>82</v>
      </c>
      <c r="P36" s="134" t="s">
        <v>83</v>
      </c>
      <c r="Q36" s="134" t="s">
        <v>84</v>
      </c>
      <c r="R36" s="144"/>
    </row>
    <row r="37" spans="1:18" ht="12.75" customHeight="1">
      <c r="A37" s="135"/>
      <c r="B37" s="135"/>
      <c r="C37" s="135"/>
      <c r="D37" s="135"/>
      <c r="E37" s="135"/>
      <c r="F37" s="135"/>
      <c r="G37" s="135"/>
      <c r="H37" s="135"/>
      <c r="I37" s="78" t="s">
        <v>85</v>
      </c>
      <c r="J37" s="78" t="s">
        <v>86</v>
      </c>
      <c r="K37" s="78" t="s">
        <v>87</v>
      </c>
      <c r="L37" s="78" t="s">
        <v>88</v>
      </c>
      <c r="M37" s="78" t="s">
        <v>89</v>
      </c>
      <c r="N37" s="135"/>
      <c r="O37" s="135"/>
      <c r="P37" s="135"/>
      <c r="Q37" s="135"/>
      <c r="R37" s="144"/>
    </row>
    <row r="38" spans="1:18" ht="12.75" customHeight="1">
      <c r="A38" s="125">
        <v>15</v>
      </c>
      <c r="B38" s="125">
        <v>75</v>
      </c>
      <c r="C38" s="125">
        <v>0</v>
      </c>
      <c r="D38" s="125">
        <v>400100</v>
      </c>
      <c r="E38" s="125">
        <v>415924</v>
      </c>
      <c r="F38" s="125">
        <v>480000</v>
      </c>
      <c r="G38" s="125">
        <v>5026</v>
      </c>
      <c r="H38" s="125">
        <v>52939</v>
      </c>
      <c r="I38" s="75">
        <v>0</v>
      </c>
      <c r="J38" s="75">
        <v>0</v>
      </c>
      <c r="K38" s="75">
        <v>5026</v>
      </c>
      <c r="L38" s="75">
        <v>5025</v>
      </c>
      <c r="M38" s="75">
        <v>61829</v>
      </c>
      <c r="N38" s="125">
        <v>57615</v>
      </c>
      <c r="O38" s="125">
        <v>477752</v>
      </c>
      <c r="P38" s="127">
        <v>2.8</v>
      </c>
      <c r="Q38" s="125">
        <v>537615</v>
      </c>
      <c r="R38" s="144"/>
    </row>
    <row r="39" spans="1:18" ht="12.75" customHeight="1">
      <c r="A39" s="126"/>
      <c r="B39" s="126"/>
      <c r="C39" s="126"/>
      <c r="D39" s="126"/>
      <c r="E39" s="126"/>
      <c r="F39" s="126"/>
      <c r="G39" s="126"/>
      <c r="H39" s="126"/>
      <c r="I39" s="75">
        <v>100</v>
      </c>
      <c r="J39" s="75">
        <v>50</v>
      </c>
      <c r="K39" s="75">
        <v>50</v>
      </c>
      <c r="L39" s="75">
        <v>45</v>
      </c>
      <c r="M39" s="75">
        <v>61829</v>
      </c>
      <c r="N39" s="126"/>
      <c r="O39" s="126"/>
      <c r="P39" s="126"/>
      <c r="Q39" s="126"/>
      <c r="R39" s="144"/>
    </row>
    <row r="40" spans="1:18" ht="12.75" customHeight="1">
      <c r="A40" s="128">
        <v>16</v>
      </c>
      <c r="B40" s="128">
        <v>76</v>
      </c>
      <c r="C40" s="128">
        <v>0</v>
      </c>
      <c r="D40" s="128">
        <v>400100</v>
      </c>
      <c r="E40" s="128">
        <v>422357</v>
      </c>
      <c r="F40" s="128">
        <v>480000</v>
      </c>
      <c r="G40" s="128">
        <v>5103</v>
      </c>
      <c r="H40" s="128">
        <v>58042</v>
      </c>
      <c r="I40" s="76">
        <v>0</v>
      </c>
      <c r="J40" s="76">
        <v>0</v>
      </c>
      <c r="K40" s="76">
        <v>5103</v>
      </c>
      <c r="L40" s="76">
        <v>5103</v>
      </c>
      <c r="M40" s="76">
        <v>68756</v>
      </c>
      <c r="N40" s="128">
        <v>63653</v>
      </c>
      <c r="O40" s="128">
        <v>491112</v>
      </c>
      <c r="P40" s="130">
        <v>2.8</v>
      </c>
      <c r="Q40" s="128">
        <v>543653</v>
      </c>
      <c r="R40" s="144"/>
    </row>
    <row r="41" spans="1:18" ht="12.75" customHeight="1">
      <c r="A41" s="129"/>
      <c r="B41" s="129"/>
      <c r="C41" s="129"/>
      <c r="D41" s="129"/>
      <c r="E41" s="129"/>
      <c r="F41" s="129"/>
      <c r="G41" s="129"/>
      <c r="H41" s="129"/>
      <c r="I41" s="76">
        <v>100</v>
      </c>
      <c r="J41" s="76">
        <v>50</v>
      </c>
      <c r="K41" s="76">
        <v>51</v>
      </c>
      <c r="L41" s="76">
        <v>30</v>
      </c>
      <c r="M41" s="76">
        <v>68756</v>
      </c>
      <c r="N41" s="129"/>
      <c r="O41" s="129"/>
      <c r="P41" s="129"/>
      <c r="Q41" s="129"/>
      <c r="R41" s="144"/>
    </row>
    <row r="42" spans="1:18" ht="12.75" customHeight="1">
      <c r="A42" s="125">
        <v>17</v>
      </c>
      <c r="B42" s="125">
        <v>77</v>
      </c>
      <c r="C42" s="125">
        <v>0</v>
      </c>
      <c r="D42" s="125">
        <v>400100</v>
      </c>
      <c r="E42" s="125">
        <v>428854</v>
      </c>
      <c r="F42" s="125">
        <v>480000</v>
      </c>
      <c r="G42" s="125">
        <v>5181</v>
      </c>
      <c r="H42" s="125">
        <v>63223</v>
      </c>
      <c r="I42" s="75">
        <v>0</v>
      </c>
      <c r="J42" s="75">
        <v>0</v>
      </c>
      <c r="K42" s="75">
        <v>5181</v>
      </c>
      <c r="L42" s="75">
        <v>5180</v>
      </c>
      <c r="M42" s="75">
        <v>75988</v>
      </c>
      <c r="N42" s="125">
        <v>70808</v>
      </c>
      <c r="O42" s="125">
        <v>504842</v>
      </c>
      <c r="P42" s="127">
        <v>2.8</v>
      </c>
      <c r="Q42" s="125">
        <v>550808</v>
      </c>
      <c r="R42" s="144"/>
    </row>
    <row r="43" spans="1:18" ht="12.75" customHeight="1">
      <c r="A43" s="126"/>
      <c r="B43" s="126"/>
      <c r="C43" s="126"/>
      <c r="D43" s="126"/>
      <c r="E43" s="126"/>
      <c r="F43" s="126"/>
      <c r="G43" s="126"/>
      <c r="H43" s="126"/>
      <c r="I43" s="75">
        <v>100</v>
      </c>
      <c r="J43" s="75">
        <v>51</v>
      </c>
      <c r="K43" s="75">
        <v>52</v>
      </c>
      <c r="L43" s="75">
        <v>10</v>
      </c>
      <c r="M43" s="75">
        <v>75988</v>
      </c>
      <c r="N43" s="126"/>
      <c r="O43" s="126"/>
      <c r="P43" s="126"/>
      <c r="Q43" s="126"/>
      <c r="R43" s="144"/>
    </row>
    <row r="44" spans="1:18" ht="12.75" customHeight="1">
      <c r="A44" s="128">
        <v>18</v>
      </c>
      <c r="B44" s="128">
        <v>78</v>
      </c>
      <c r="C44" s="128">
        <v>0</v>
      </c>
      <c r="D44" s="128">
        <v>400100</v>
      </c>
      <c r="E44" s="128">
        <v>435446</v>
      </c>
      <c r="F44" s="128">
        <v>480000</v>
      </c>
      <c r="G44" s="128">
        <v>5260</v>
      </c>
      <c r="H44" s="128">
        <v>68483</v>
      </c>
      <c r="I44" s="76">
        <v>0</v>
      </c>
      <c r="J44" s="76">
        <v>0</v>
      </c>
      <c r="K44" s="76">
        <v>5260</v>
      </c>
      <c r="L44" s="76">
        <v>5259</v>
      </c>
      <c r="M44" s="76">
        <v>83527</v>
      </c>
      <c r="N44" s="128">
        <v>78268</v>
      </c>
      <c r="O44" s="128">
        <v>518973</v>
      </c>
      <c r="P44" s="130">
        <v>2.8</v>
      </c>
      <c r="Q44" s="128">
        <v>558268</v>
      </c>
      <c r="R44" s="144"/>
    </row>
    <row r="45" spans="1:18" ht="12.75" customHeight="1">
      <c r="A45" s="129"/>
      <c r="B45" s="129"/>
      <c r="C45" s="129"/>
      <c r="D45" s="129"/>
      <c r="E45" s="129"/>
      <c r="F45" s="129"/>
      <c r="G45" s="129"/>
      <c r="H45" s="129"/>
      <c r="I45" s="76">
        <v>100</v>
      </c>
      <c r="J45" s="76">
        <v>52</v>
      </c>
      <c r="K45" s="76">
        <v>53</v>
      </c>
      <c r="L45" s="76">
        <v>0</v>
      </c>
      <c r="M45" s="76">
        <v>83527</v>
      </c>
      <c r="N45" s="129"/>
      <c r="O45" s="129"/>
      <c r="P45" s="129"/>
      <c r="Q45" s="129"/>
      <c r="R45" s="144"/>
    </row>
    <row r="46" spans="1:18" ht="12.75" customHeight="1">
      <c r="A46" s="125">
        <v>19</v>
      </c>
      <c r="B46" s="125">
        <v>79</v>
      </c>
      <c r="C46" s="125">
        <v>0</v>
      </c>
      <c r="D46" s="125">
        <v>400100</v>
      </c>
      <c r="E46" s="125">
        <v>442134</v>
      </c>
      <c r="F46" s="125">
        <v>480000</v>
      </c>
      <c r="G46" s="125">
        <v>5339</v>
      </c>
      <c r="H46" s="125">
        <v>73822</v>
      </c>
      <c r="I46" s="75">
        <v>0</v>
      </c>
      <c r="J46" s="75">
        <v>0</v>
      </c>
      <c r="K46" s="75">
        <v>5339</v>
      </c>
      <c r="L46" s="75">
        <v>5339</v>
      </c>
      <c r="M46" s="75">
        <v>91371</v>
      </c>
      <c r="N46" s="125">
        <v>86033</v>
      </c>
      <c r="O46" s="125">
        <v>533505</v>
      </c>
      <c r="P46" s="127">
        <v>2.8</v>
      </c>
      <c r="Q46" s="125">
        <v>566033</v>
      </c>
      <c r="R46" s="144"/>
    </row>
    <row r="47" spans="1:18" ht="12.75" customHeight="1">
      <c r="A47" s="126"/>
      <c r="B47" s="126"/>
      <c r="C47" s="126"/>
      <c r="D47" s="126"/>
      <c r="E47" s="126"/>
      <c r="F47" s="126"/>
      <c r="G47" s="126"/>
      <c r="H47" s="126"/>
      <c r="I47" s="75">
        <v>100</v>
      </c>
      <c r="J47" s="75">
        <v>53</v>
      </c>
      <c r="K47" s="75">
        <v>53</v>
      </c>
      <c r="L47" s="75">
        <v>0</v>
      </c>
      <c r="M47" s="75">
        <v>91371</v>
      </c>
      <c r="N47" s="126"/>
      <c r="O47" s="126"/>
      <c r="P47" s="126"/>
      <c r="Q47" s="126"/>
      <c r="R47" s="144"/>
    </row>
    <row r="48" spans="1:18" ht="12.75" customHeight="1">
      <c r="A48" s="128">
        <v>20</v>
      </c>
      <c r="B48" s="128">
        <v>80</v>
      </c>
      <c r="C48" s="128">
        <v>0</v>
      </c>
      <c r="D48" s="128">
        <v>400100</v>
      </c>
      <c r="E48" s="128">
        <v>448981</v>
      </c>
      <c r="F48" s="128">
        <v>480000</v>
      </c>
      <c r="G48" s="128">
        <v>5420</v>
      </c>
      <c r="H48" s="128">
        <v>79243</v>
      </c>
      <c r="I48" s="76">
        <v>0</v>
      </c>
      <c r="J48" s="76">
        <v>0</v>
      </c>
      <c r="K48" s="76">
        <v>5420</v>
      </c>
      <c r="L48" s="76">
        <v>5420</v>
      </c>
      <c r="M48" s="76">
        <v>99532</v>
      </c>
      <c r="N48" s="128">
        <v>94112</v>
      </c>
      <c r="O48" s="128">
        <v>548513</v>
      </c>
      <c r="P48" s="130">
        <v>2.81</v>
      </c>
      <c r="Q48" s="128">
        <v>574112</v>
      </c>
      <c r="R48" s="144"/>
    </row>
    <row r="49" spans="1:18" ht="12.75" customHeight="1">
      <c r="A49" s="129"/>
      <c r="B49" s="129"/>
      <c r="C49" s="129"/>
      <c r="D49" s="129"/>
      <c r="E49" s="129"/>
      <c r="F49" s="129"/>
      <c r="G49" s="129"/>
      <c r="H49" s="129"/>
      <c r="I49" s="76">
        <v>100</v>
      </c>
      <c r="J49" s="76">
        <v>53</v>
      </c>
      <c r="K49" s="76">
        <v>54</v>
      </c>
      <c r="L49" s="76">
        <v>0</v>
      </c>
      <c r="M49" s="76">
        <v>99532</v>
      </c>
      <c r="N49" s="129"/>
      <c r="O49" s="129"/>
      <c r="P49" s="129"/>
      <c r="Q49" s="129"/>
      <c r="R49" s="144"/>
    </row>
    <row r="50" spans="1:18" ht="12.75" customHeight="1">
      <c r="A50" s="125">
        <v>21</v>
      </c>
      <c r="B50" s="125">
        <v>81</v>
      </c>
      <c r="C50" s="125">
        <v>0</v>
      </c>
      <c r="D50" s="125">
        <v>400100</v>
      </c>
      <c r="E50" s="125">
        <v>456019</v>
      </c>
      <c r="F50" s="125">
        <v>480000</v>
      </c>
      <c r="G50" s="125">
        <v>5503</v>
      </c>
      <c r="H50" s="125">
        <v>84746</v>
      </c>
      <c r="I50" s="75">
        <v>0</v>
      </c>
      <c r="J50" s="75">
        <v>0</v>
      </c>
      <c r="K50" s="75">
        <v>5503</v>
      </c>
      <c r="L50" s="75">
        <v>5502</v>
      </c>
      <c r="M50" s="75">
        <v>108020</v>
      </c>
      <c r="N50" s="125">
        <v>102518</v>
      </c>
      <c r="O50" s="125">
        <v>564039</v>
      </c>
      <c r="P50" s="127">
        <v>2.83</v>
      </c>
      <c r="Q50" s="125">
        <v>582518</v>
      </c>
      <c r="R50" s="144"/>
    </row>
    <row r="51" spans="1:18" ht="12.75" customHeight="1">
      <c r="A51" s="126"/>
      <c r="B51" s="126"/>
      <c r="C51" s="126"/>
      <c r="D51" s="126"/>
      <c r="E51" s="126"/>
      <c r="F51" s="126"/>
      <c r="G51" s="126"/>
      <c r="H51" s="126"/>
      <c r="I51" s="75">
        <v>100</v>
      </c>
      <c r="J51" s="75">
        <v>54</v>
      </c>
      <c r="K51" s="75">
        <v>55</v>
      </c>
      <c r="L51" s="75">
        <v>0</v>
      </c>
      <c r="M51" s="75">
        <v>108020</v>
      </c>
      <c r="N51" s="126"/>
      <c r="O51" s="126"/>
      <c r="P51" s="126"/>
      <c r="Q51" s="126"/>
      <c r="R51" s="144"/>
    </row>
    <row r="52" spans="1:18" ht="12.75" customHeight="1">
      <c r="A52" s="128">
        <v>22</v>
      </c>
      <c r="B52" s="128">
        <v>82</v>
      </c>
      <c r="C52" s="128">
        <v>0</v>
      </c>
      <c r="D52" s="128">
        <v>400100</v>
      </c>
      <c r="E52" s="128">
        <v>463280</v>
      </c>
      <c r="F52" s="128">
        <v>480000</v>
      </c>
      <c r="G52" s="128">
        <v>5588</v>
      </c>
      <c r="H52" s="128">
        <v>90334</v>
      </c>
      <c r="I52" s="76">
        <v>0</v>
      </c>
      <c r="J52" s="76">
        <v>0</v>
      </c>
      <c r="K52" s="76">
        <v>5588</v>
      </c>
      <c r="L52" s="76">
        <v>5587</v>
      </c>
      <c r="M52" s="76">
        <v>116848</v>
      </c>
      <c r="N52" s="128">
        <v>111261</v>
      </c>
      <c r="O52" s="128">
        <v>580128</v>
      </c>
      <c r="P52" s="130">
        <v>2.85</v>
      </c>
      <c r="Q52" s="128">
        <v>591261</v>
      </c>
      <c r="R52" s="144"/>
    </row>
    <row r="53" spans="1:18" ht="12.75" customHeight="1">
      <c r="A53" s="129"/>
      <c r="B53" s="129"/>
      <c r="C53" s="129"/>
      <c r="D53" s="129"/>
      <c r="E53" s="129"/>
      <c r="F53" s="129"/>
      <c r="G53" s="129"/>
      <c r="H53" s="129"/>
      <c r="I53" s="76">
        <v>100</v>
      </c>
      <c r="J53" s="76">
        <v>55</v>
      </c>
      <c r="K53" s="76">
        <v>56</v>
      </c>
      <c r="L53" s="76">
        <v>0</v>
      </c>
      <c r="M53" s="76">
        <v>116848</v>
      </c>
      <c r="N53" s="129"/>
      <c r="O53" s="129"/>
      <c r="P53" s="129"/>
      <c r="Q53" s="129"/>
      <c r="R53" s="144"/>
    </row>
    <row r="54" spans="1:18" ht="12.75" customHeight="1">
      <c r="A54" s="125">
        <v>23</v>
      </c>
      <c r="B54" s="125">
        <v>83</v>
      </c>
      <c r="C54" s="125">
        <v>0</v>
      </c>
      <c r="D54" s="125">
        <v>400100</v>
      </c>
      <c r="E54" s="125">
        <v>470892</v>
      </c>
      <c r="F54" s="125">
        <v>480000</v>
      </c>
      <c r="G54" s="125">
        <v>5676</v>
      </c>
      <c r="H54" s="125">
        <v>96011</v>
      </c>
      <c r="I54" s="75">
        <v>0</v>
      </c>
      <c r="J54" s="75">
        <v>0</v>
      </c>
      <c r="K54" s="75">
        <v>5676</v>
      </c>
      <c r="L54" s="75">
        <v>5676</v>
      </c>
      <c r="M54" s="75">
        <v>126029</v>
      </c>
      <c r="N54" s="125">
        <v>120354</v>
      </c>
      <c r="O54" s="125">
        <v>596921</v>
      </c>
      <c r="P54" s="127">
        <v>2.89</v>
      </c>
      <c r="Q54" s="125">
        <v>600354</v>
      </c>
      <c r="R54" s="144"/>
    </row>
    <row r="55" spans="1:18" ht="12.75" customHeight="1">
      <c r="A55" s="126"/>
      <c r="B55" s="126"/>
      <c r="C55" s="126"/>
      <c r="D55" s="126"/>
      <c r="E55" s="126"/>
      <c r="F55" s="126"/>
      <c r="G55" s="126"/>
      <c r="H55" s="126"/>
      <c r="I55" s="75">
        <v>100</v>
      </c>
      <c r="J55" s="75">
        <v>56</v>
      </c>
      <c r="K55" s="75">
        <v>57</v>
      </c>
      <c r="L55" s="75">
        <v>0</v>
      </c>
      <c r="M55" s="75">
        <v>126029</v>
      </c>
      <c r="N55" s="126"/>
      <c r="O55" s="126"/>
      <c r="P55" s="126"/>
      <c r="Q55" s="126"/>
      <c r="R55" s="144"/>
    </row>
    <row r="56" spans="1:18" ht="12.75" customHeight="1">
      <c r="A56" s="128">
        <v>24</v>
      </c>
      <c r="B56" s="128">
        <v>84</v>
      </c>
      <c r="C56" s="128">
        <v>0</v>
      </c>
      <c r="D56" s="128">
        <v>400100</v>
      </c>
      <c r="E56" s="128">
        <v>478885</v>
      </c>
      <c r="F56" s="128">
        <v>480000</v>
      </c>
      <c r="G56" s="128">
        <v>5769</v>
      </c>
      <c r="H56" s="128">
        <v>101779</v>
      </c>
      <c r="I56" s="76">
        <v>0</v>
      </c>
      <c r="J56" s="76">
        <v>0</v>
      </c>
      <c r="K56" s="76">
        <v>5769</v>
      </c>
      <c r="L56" s="76">
        <v>5768</v>
      </c>
      <c r="M56" s="76">
        <v>135578</v>
      </c>
      <c r="N56" s="128">
        <v>129810</v>
      </c>
      <c r="O56" s="128">
        <v>614463</v>
      </c>
      <c r="P56" s="130">
        <v>2.94</v>
      </c>
      <c r="Q56" s="128">
        <v>609810</v>
      </c>
      <c r="R56" s="144"/>
    </row>
    <row r="57" spans="1:18" ht="12.75" customHeight="1">
      <c r="A57" s="129"/>
      <c r="B57" s="129"/>
      <c r="C57" s="129"/>
      <c r="D57" s="129"/>
      <c r="E57" s="129"/>
      <c r="F57" s="129"/>
      <c r="G57" s="129"/>
      <c r="H57" s="129"/>
      <c r="I57" s="76">
        <v>100</v>
      </c>
      <c r="J57" s="76">
        <v>57</v>
      </c>
      <c r="K57" s="76">
        <v>58</v>
      </c>
      <c r="L57" s="76">
        <v>0</v>
      </c>
      <c r="M57" s="76">
        <v>135578</v>
      </c>
      <c r="N57" s="129"/>
      <c r="O57" s="129"/>
      <c r="P57" s="129"/>
      <c r="Q57" s="129"/>
      <c r="R57" s="144"/>
    </row>
    <row r="58" spans="1:18" ht="12.75" customHeight="1">
      <c r="A58" s="125">
        <v>25</v>
      </c>
      <c r="B58" s="125">
        <v>85</v>
      </c>
      <c r="C58" s="125">
        <v>0</v>
      </c>
      <c r="D58" s="125">
        <v>400100</v>
      </c>
      <c r="E58" s="125">
        <v>487261</v>
      </c>
      <c r="F58" s="125">
        <v>487261</v>
      </c>
      <c r="G58" s="125">
        <v>5867</v>
      </c>
      <c r="H58" s="125">
        <v>107646</v>
      </c>
      <c r="I58" s="75">
        <v>0</v>
      </c>
      <c r="J58" s="75">
        <v>0</v>
      </c>
      <c r="K58" s="75">
        <v>5867</v>
      </c>
      <c r="L58" s="75">
        <v>5866</v>
      </c>
      <c r="M58" s="75">
        <v>145511</v>
      </c>
      <c r="N58" s="125">
        <v>139645</v>
      </c>
      <c r="O58" s="125">
        <v>632772</v>
      </c>
      <c r="P58" s="127">
        <v>2.98</v>
      </c>
      <c r="Q58" s="125">
        <v>626906</v>
      </c>
      <c r="R58" s="144"/>
    </row>
    <row r="59" spans="1:18" ht="12.75" customHeight="1">
      <c r="A59" s="126"/>
      <c r="B59" s="126"/>
      <c r="C59" s="126"/>
      <c r="D59" s="126"/>
      <c r="E59" s="126"/>
      <c r="F59" s="126"/>
      <c r="G59" s="126"/>
      <c r="H59" s="126"/>
      <c r="I59" s="75">
        <v>100</v>
      </c>
      <c r="J59" s="75">
        <v>58</v>
      </c>
      <c r="K59" s="75">
        <v>59</v>
      </c>
      <c r="L59" s="75">
        <v>0</v>
      </c>
      <c r="M59" s="75">
        <v>145511</v>
      </c>
      <c r="N59" s="126"/>
      <c r="O59" s="126"/>
      <c r="P59" s="126"/>
      <c r="Q59" s="126"/>
      <c r="R59" s="144"/>
    </row>
    <row r="60" spans="1:18" ht="12.75" customHeight="1">
      <c r="A60" s="128">
        <v>26</v>
      </c>
      <c r="B60" s="128">
        <v>86</v>
      </c>
      <c r="C60" s="128">
        <v>0</v>
      </c>
      <c r="D60" s="128">
        <v>400100</v>
      </c>
      <c r="E60" s="128">
        <v>495796</v>
      </c>
      <c r="F60" s="128">
        <v>495796</v>
      </c>
      <c r="G60" s="128">
        <v>5969</v>
      </c>
      <c r="H60" s="128">
        <v>113615</v>
      </c>
      <c r="I60" s="76">
        <v>0</v>
      </c>
      <c r="J60" s="76">
        <v>0</v>
      </c>
      <c r="K60" s="76">
        <v>5969</v>
      </c>
      <c r="L60" s="76">
        <v>5968</v>
      </c>
      <c r="M60" s="76">
        <v>155844</v>
      </c>
      <c r="N60" s="128">
        <v>149876</v>
      </c>
      <c r="O60" s="128">
        <v>651641</v>
      </c>
      <c r="P60" s="130">
        <v>2.98</v>
      </c>
      <c r="Q60" s="128">
        <v>645672</v>
      </c>
      <c r="R60" s="144"/>
    </row>
    <row r="61" spans="1:18" ht="12.75" customHeight="1">
      <c r="A61" s="129"/>
      <c r="B61" s="129"/>
      <c r="C61" s="129"/>
      <c r="D61" s="129"/>
      <c r="E61" s="129"/>
      <c r="F61" s="129"/>
      <c r="G61" s="129"/>
      <c r="H61" s="129"/>
      <c r="I61" s="76">
        <v>100</v>
      </c>
      <c r="J61" s="76">
        <v>59</v>
      </c>
      <c r="K61" s="76">
        <v>60</v>
      </c>
      <c r="L61" s="76">
        <v>0</v>
      </c>
      <c r="M61" s="76">
        <v>155844</v>
      </c>
      <c r="N61" s="129"/>
      <c r="O61" s="129"/>
      <c r="P61" s="129"/>
      <c r="Q61" s="129"/>
      <c r="R61" s="144"/>
    </row>
    <row r="62" spans="1:18" ht="12.75" customHeight="1">
      <c r="A62" s="125">
        <v>27</v>
      </c>
      <c r="B62" s="125">
        <v>87</v>
      </c>
      <c r="C62" s="125">
        <v>0</v>
      </c>
      <c r="D62" s="125">
        <v>400100</v>
      </c>
      <c r="E62" s="125">
        <v>504490</v>
      </c>
      <c r="F62" s="125">
        <v>504490</v>
      </c>
      <c r="G62" s="125">
        <v>6074</v>
      </c>
      <c r="H62" s="125">
        <v>119689</v>
      </c>
      <c r="I62" s="75">
        <v>0</v>
      </c>
      <c r="J62" s="75">
        <v>0</v>
      </c>
      <c r="K62" s="75">
        <v>6074</v>
      </c>
      <c r="L62" s="75">
        <v>6073</v>
      </c>
      <c r="M62" s="75">
        <v>166592</v>
      </c>
      <c r="N62" s="125">
        <v>160520</v>
      </c>
      <c r="O62" s="125">
        <v>671083</v>
      </c>
      <c r="P62" s="127">
        <v>2.98</v>
      </c>
      <c r="Q62" s="125">
        <v>665010</v>
      </c>
      <c r="R62" s="144"/>
    </row>
    <row r="63" spans="1:18" ht="12.75" customHeight="1">
      <c r="A63" s="126"/>
      <c r="B63" s="126"/>
      <c r="C63" s="126"/>
      <c r="D63" s="126"/>
      <c r="E63" s="126"/>
      <c r="F63" s="126"/>
      <c r="G63" s="126"/>
      <c r="H63" s="126"/>
      <c r="I63" s="75">
        <v>100</v>
      </c>
      <c r="J63" s="75">
        <v>60</v>
      </c>
      <c r="K63" s="75">
        <v>61</v>
      </c>
      <c r="L63" s="75">
        <v>0</v>
      </c>
      <c r="M63" s="75">
        <v>166592</v>
      </c>
      <c r="N63" s="126"/>
      <c r="O63" s="126"/>
      <c r="P63" s="126"/>
      <c r="Q63" s="126"/>
      <c r="R63" s="144"/>
    </row>
    <row r="64" spans="1:18" ht="12.75" customHeight="1">
      <c r="A64" s="128">
        <v>28</v>
      </c>
      <c r="B64" s="128">
        <v>88</v>
      </c>
      <c r="C64" s="128">
        <v>0</v>
      </c>
      <c r="D64" s="128">
        <v>400100</v>
      </c>
      <c r="E64" s="128">
        <v>513312</v>
      </c>
      <c r="F64" s="128">
        <v>513312</v>
      </c>
      <c r="G64" s="128">
        <v>6180</v>
      </c>
      <c r="H64" s="128">
        <v>125869</v>
      </c>
      <c r="I64" s="76">
        <v>0</v>
      </c>
      <c r="J64" s="76">
        <v>0</v>
      </c>
      <c r="K64" s="76">
        <v>6180</v>
      </c>
      <c r="L64" s="76">
        <v>6179</v>
      </c>
      <c r="M64" s="76">
        <v>177769</v>
      </c>
      <c r="N64" s="128">
        <v>171590</v>
      </c>
      <c r="O64" s="128">
        <v>691081</v>
      </c>
      <c r="P64" s="130">
        <v>2.98</v>
      </c>
      <c r="Q64" s="128">
        <v>684902</v>
      </c>
      <c r="R64" s="144"/>
    </row>
    <row r="65" spans="1:18" ht="12.75" customHeight="1">
      <c r="A65" s="129"/>
      <c r="B65" s="129"/>
      <c r="C65" s="129"/>
      <c r="D65" s="129"/>
      <c r="E65" s="129"/>
      <c r="F65" s="129"/>
      <c r="G65" s="129"/>
      <c r="H65" s="129"/>
      <c r="I65" s="76">
        <v>100</v>
      </c>
      <c r="J65" s="76">
        <v>61</v>
      </c>
      <c r="K65" s="76">
        <v>62</v>
      </c>
      <c r="L65" s="76">
        <v>0</v>
      </c>
      <c r="M65" s="76">
        <v>177769</v>
      </c>
      <c r="N65" s="129"/>
      <c r="O65" s="129"/>
      <c r="P65" s="129"/>
      <c r="Q65" s="129"/>
      <c r="R65" s="144"/>
    </row>
    <row r="66" spans="1:18" ht="12.75" customHeight="1">
      <c r="A66" s="131" t="s">
        <v>94</v>
      </c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</row>
    <row r="67" spans="1:18" ht="12.75" customHeight="1">
      <c r="A67" s="133" t="s">
        <v>93</v>
      </c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</row>
    <row r="68" spans="1:18" ht="12.75" customHeight="1">
      <c r="A68" s="134" t="s">
        <v>66</v>
      </c>
      <c r="B68" s="134" t="s">
        <v>67</v>
      </c>
      <c r="C68" s="134" t="s">
        <v>68</v>
      </c>
      <c r="D68" s="134" t="s">
        <v>69</v>
      </c>
      <c r="E68" s="134" t="s">
        <v>70</v>
      </c>
      <c r="F68" s="135"/>
      <c r="G68" s="135"/>
      <c r="H68" s="135"/>
      <c r="I68" s="134" t="s">
        <v>71</v>
      </c>
      <c r="J68" s="135"/>
      <c r="K68" s="135"/>
      <c r="L68" s="135"/>
      <c r="M68" s="135"/>
      <c r="N68" s="135"/>
      <c r="O68" s="134" t="s">
        <v>72</v>
      </c>
      <c r="P68" s="135"/>
      <c r="Q68" s="135"/>
      <c r="R68" s="144"/>
    </row>
    <row r="69" spans="1:18" ht="12.75" customHeight="1">
      <c r="A69" s="135"/>
      <c r="B69" s="135"/>
      <c r="C69" s="135"/>
      <c r="D69" s="135"/>
      <c r="E69" s="134" t="s">
        <v>73</v>
      </c>
      <c r="F69" s="134" t="s">
        <v>74</v>
      </c>
      <c r="G69" s="134" t="s">
        <v>75</v>
      </c>
      <c r="H69" s="134" t="s">
        <v>76</v>
      </c>
      <c r="I69" s="78" t="s">
        <v>77</v>
      </c>
      <c r="J69" s="78" t="s">
        <v>78</v>
      </c>
      <c r="K69" s="78" t="s">
        <v>79</v>
      </c>
      <c r="L69" s="78" t="s">
        <v>80</v>
      </c>
      <c r="M69" s="78" t="s">
        <v>81</v>
      </c>
      <c r="N69" s="134" t="s">
        <v>74</v>
      </c>
      <c r="O69" s="134" t="s">
        <v>82</v>
      </c>
      <c r="P69" s="134" t="s">
        <v>83</v>
      </c>
      <c r="Q69" s="134" t="s">
        <v>84</v>
      </c>
      <c r="R69" s="144"/>
    </row>
    <row r="70" spans="1:18" ht="12.75" customHeight="1">
      <c r="A70" s="135"/>
      <c r="B70" s="135"/>
      <c r="C70" s="135"/>
      <c r="D70" s="135"/>
      <c r="E70" s="135"/>
      <c r="F70" s="135"/>
      <c r="G70" s="135"/>
      <c r="H70" s="135"/>
      <c r="I70" s="78" t="s">
        <v>85</v>
      </c>
      <c r="J70" s="78" t="s">
        <v>86</v>
      </c>
      <c r="K70" s="78" t="s">
        <v>87</v>
      </c>
      <c r="L70" s="78" t="s">
        <v>88</v>
      </c>
      <c r="M70" s="78" t="s">
        <v>89</v>
      </c>
      <c r="N70" s="135"/>
      <c r="O70" s="135"/>
      <c r="P70" s="135"/>
      <c r="Q70" s="135"/>
      <c r="R70" s="144"/>
    </row>
    <row r="71" spans="1:18" ht="12.75" customHeight="1">
      <c r="A71" s="125">
        <v>29</v>
      </c>
      <c r="B71" s="125">
        <v>89</v>
      </c>
      <c r="C71" s="125">
        <v>0</v>
      </c>
      <c r="D71" s="125">
        <v>400100</v>
      </c>
      <c r="E71" s="125">
        <v>522293</v>
      </c>
      <c r="F71" s="125">
        <v>522293</v>
      </c>
      <c r="G71" s="125">
        <v>6288</v>
      </c>
      <c r="H71" s="125">
        <v>132157</v>
      </c>
      <c r="I71" s="75">
        <v>0</v>
      </c>
      <c r="J71" s="75">
        <v>0</v>
      </c>
      <c r="K71" s="75">
        <v>6288</v>
      </c>
      <c r="L71" s="75">
        <v>6287</v>
      </c>
      <c r="M71" s="75">
        <v>189389</v>
      </c>
      <c r="N71" s="125">
        <v>183102</v>
      </c>
      <c r="O71" s="125">
        <v>711682</v>
      </c>
      <c r="P71" s="127">
        <v>2.98</v>
      </c>
      <c r="Q71" s="125">
        <v>705395</v>
      </c>
      <c r="R71" s="144"/>
    </row>
    <row r="72" spans="1:18" ht="12.75" customHeight="1">
      <c r="A72" s="126"/>
      <c r="B72" s="126"/>
      <c r="C72" s="126"/>
      <c r="D72" s="126"/>
      <c r="E72" s="126"/>
      <c r="F72" s="126"/>
      <c r="G72" s="126"/>
      <c r="H72" s="126"/>
      <c r="I72" s="75">
        <v>100</v>
      </c>
      <c r="J72" s="75">
        <v>62</v>
      </c>
      <c r="K72" s="75">
        <v>63</v>
      </c>
      <c r="L72" s="75">
        <v>0</v>
      </c>
      <c r="M72" s="75">
        <v>189389</v>
      </c>
      <c r="N72" s="126"/>
      <c r="O72" s="126"/>
      <c r="P72" s="126"/>
      <c r="Q72" s="126"/>
      <c r="R72" s="144"/>
    </row>
    <row r="73" spans="1:18" ht="12.75" customHeight="1">
      <c r="A73" s="128">
        <v>30</v>
      </c>
      <c r="B73" s="128">
        <v>90</v>
      </c>
      <c r="C73" s="128">
        <v>0</v>
      </c>
      <c r="D73" s="128">
        <v>400100</v>
      </c>
      <c r="E73" s="128">
        <v>531433</v>
      </c>
      <c r="F73" s="128">
        <v>531433</v>
      </c>
      <c r="G73" s="128">
        <v>6398</v>
      </c>
      <c r="H73" s="128">
        <v>138555</v>
      </c>
      <c r="I73" s="76">
        <v>0</v>
      </c>
      <c r="J73" s="76">
        <v>0</v>
      </c>
      <c r="K73" s="76">
        <v>6398</v>
      </c>
      <c r="L73" s="76">
        <v>6397</v>
      </c>
      <c r="M73" s="76">
        <v>201468</v>
      </c>
      <c r="N73" s="128">
        <v>195071</v>
      </c>
      <c r="O73" s="128">
        <v>732901</v>
      </c>
      <c r="P73" s="130">
        <v>2.98</v>
      </c>
      <c r="Q73" s="128">
        <v>726504</v>
      </c>
      <c r="R73" s="144"/>
    </row>
    <row r="74" spans="1:18" ht="12.75" customHeight="1">
      <c r="A74" s="129"/>
      <c r="B74" s="129"/>
      <c r="C74" s="129"/>
      <c r="D74" s="129"/>
      <c r="E74" s="129"/>
      <c r="F74" s="129"/>
      <c r="G74" s="129"/>
      <c r="H74" s="129"/>
      <c r="I74" s="76">
        <v>100</v>
      </c>
      <c r="J74" s="76">
        <v>63</v>
      </c>
      <c r="K74" s="76">
        <v>64</v>
      </c>
      <c r="L74" s="76">
        <v>0</v>
      </c>
      <c r="M74" s="76">
        <v>201468</v>
      </c>
      <c r="N74" s="129"/>
      <c r="O74" s="129"/>
      <c r="P74" s="129"/>
      <c r="Q74" s="129"/>
      <c r="R74" s="144"/>
    </row>
    <row r="75" spans="1:18" ht="12.75" customHeight="1">
      <c r="A75" s="125">
        <v>31</v>
      </c>
      <c r="B75" s="125">
        <v>91</v>
      </c>
      <c r="C75" s="125">
        <v>0</v>
      </c>
      <c r="D75" s="125">
        <v>400100</v>
      </c>
      <c r="E75" s="125">
        <v>540701</v>
      </c>
      <c r="F75" s="125">
        <v>540701</v>
      </c>
      <c r="G75" s="125">
        <v>6510</v>
      </c>
      <c r="H75" s="125">
        <v>145065</v>
      </c>
      <c r="I75" s="75">
        <v>0</v>
      </c>
      <c r="J75" s="75">
        <v>0</v>
      </c>
      <c r="K75" s="75">
        <v>6510</v>
      </c>
      <c r="L75" s="75">
        <v>6509</v>
      </c>
      <c r="M75" s="75">
        <v>214021</v>
      </c>
      <c r="N75" s="125">
        <v>207512</v>
      </c>
      <c r="O75" s="125">
        <v>754721</v>
      </c>
      <c r="P75" s="127">
        <v>2.98</v>
      </c>
      <c r="Q75" s="125">
        <v>748212</v>
      </c>
      <c r="R75" s="144"/>
    </row>
    <row r="76" spans="1:18" ht="12.75" customHeight="1">
      <c r="A76" s="126"/>
      <c r="B76" s="126"/>
      <c r="C76" s="126"/>
      <c r="D76" s="126"/>
      <c r="E76" s="126"/>
      <c r="F76" s="126"/>
      <c r="G76" s="126"/>
      <c r="H76" s="126"/>
      <c r="I76" s="75">
        <v>100</v>
      </c>
      <c r="J76" s="75">
        <v>64</v>
      </c>
      <c r="K76" s="75">
        <v>65</v>
      </c>
      <c r="L76" s="75">
        <v>0</v>
      </c>
      <c r="M76" s="75">
        <v>214021</v>
      </c>
      <c r="N76" s="126"/>
      <c r="O76" s="126"/>
      <c r="P76" s="126"/>
      <c r="Q76" s="126"/>
      <c r="R76" s="144"/>
    </row>
    <row r="77" spans="1:18" ht="12.75" customHeight="1">
      <c r="A77" s="128">
        <v>32</v>
      </c>
      <c r="B77" s="128">
        <v>92</v>
      </c>
      <c r="C77" s="128">
        <v>0</v>
      </c>
      <c r="D77" s="128">
        <v>400100</v>
      </c>
      <c r="E77" s="128">
        <v>550159</v>
      </c>
      <c r="F77" s="128">
        <v>550159</v>
      </c>
      <c r="G77" s="128">
        <v>6624</v>
      </c>
      <c r="H77" s="128">
        <v>151689</v>
      </c>
      <c r="I77" s="76">
        <v>0</v>
      </c>
      <c r="J77" s="76">
        <v>0</v>
      </c>
      <c r="K77" s="76">
        <v>6624</v>
      </c>
      <c r="L77" s="76">
        <v>6623</v>
      </c>
      <c r="M77" s="76">
        <v>227064</v>
      </c>
      <c r="N77" s="128">
        <v>220441</v>
      </c>
      <c r="O77" s="128">
        <v>777223</v>
      </c>
      <c r="P77" s="130">
        <v>2.98</v>
      </c>
      <c r="Q77" s="128">
        <v>770600</v>
      </c>
      <c r="R77" s="144"/>
    </row>
    <row r="78" spans="1:18" ht="12.75" customHeight="1">
      <c r="A78" s="129"/>
      <c r="B78" s="129"/>
      <c r="C78" s="129"/>
      <c r="D78" s="129"/>
      <c r="E78" s="129"/>
      <c r="F78" s="129"/>
      <c r="G78" s="129"/>
      <c r="H78" s="129"/>
      <c r="I78" s="76">
        <v>100</v>
      </c>
      <c r="J78" s="76">
        <v>65</v>
      </c>
      <c r="K78" s="76">
        <v>66</v>
      </c>
      <c r="L78" s="76">
        <v>0</v>
      </c>
      <c r="M78" s="76">
        <v>227064</v>
      </c>
      <c r="N78" s="129"/>
      <c r="O78" s="129"/>
      <c r="P78" s="129"/>
      <c r="Q78" s="129"/>
      <c r="R78" s="144"/>
    </row>
    <row r="79" spans="1:18" ht="12.75" customHeight="1">
      <c r="A79" s="125">
        <v>33</v>
      </c>
      <c r="B79" s="125">
        <v>93</v>
      </c>
      <c r="C79" s="125">
        <v>0</v>
      </c>
      <c r="D79" s="125">
        <v>400100</v>
      </c>
      <c r="E79" s="125">
        <v>559809</v>
      </c>
      <c r="F79" s="125">
        <v>559809</v>
      </c>
      <c r="G79" s="125">
        <v>6740</v>
      </c>
      <c r="H79" s="125">
        <v>158428</v>
      </c>
      <c r="I79" s="75">
        <v>0</v>
      </c>
      <c r="J79" s="75">
        <v>0</v>
      </c>
      <c r="K79" s="75">
        <v>6740</v>
      </c>
      <c r="L79" s="75">
        <v>6739</v>
      </c>
      <c r="M79" s="75">
        <v>240614</v>
      </c>
      <c r="N79" s="125">
        <v>233876</v>
      </c>
      <c r="O79" s="125">
        <v>800423</v>
      </c>
      <c r="P79" s="127">
        <v>2.98</v>
      </c>
      <c r="Q79" s="125">
        <v>793685</v>
      </c>
      <c r="R79" s="144"/>
    </row>
    <row r="80" spans="1:18" ht="12.75" customHeight="1">
      <c r="A80" s="126"/>
      <c r="B80" s="126"/>
      <c r="C80" s="126"/>
      <c r="D80" s="126"/>
      <c r="E80" s="126"/>
      <c r="F80" s="126"/>
      <c r="G80" s="126"/>
      <c r="H80" s="126"/>
      <c r="I80" s="75">
        <v>100</v>
      </c>
      <c r="J80" s="75">
        <v>66</v>
      </c>
      <c r="K80" s="75">
        <v>67</v>
      </c>
      <c r="L80" s="75">
        <v>0</v>
      </c>
      <c r="M80" s="75">
        <v>240614</v>
      </c>
      <c r="N80" s="126"/>
      <c r="O80" s="126"/>
      <c r="P80" s="126"/>
      <c r="Q80" s="126"/>
      <c r="R80" s="144"/>
    </row>
    <row r="81" spans="1:18" ht="12.75" customHeight="1">
      <c r="A81" s="128">
        <v>34</v>
      </c>
      <c r="B81" s="128">
        <v>94</v>
      </c>
      <c r="C81" s="128">
        <v>0</v>
      </c>
      <c r="D81" s="128">
        <v>400100</v>
      </c>
      <c r="E81" s="128">
        <v>569586</v>
      </c>
      <c r="F81" s="128">
        <v>569586</v>
      </c>
      <c r="G81" s="128">
        <v>6858</v>
      </c>
      <c r="H81" s="128">
        <v>165286</v>
      </c>
      <c r="I81" s="76">
        <v>0</v>
      </c>
      <c r="J81" s="76">
        <v>0</v>
      </c>
      <c r="K81" s="76">
        <v>6858</v>
      </c>
      <c r="L81" s="76">
        <v>6856</v>
      </c>
      <c r="M81" s="76">
        <v>254689</v>
      </c>
      <c r="N81" s="128">
        <v>247833</v>
      </c>
      <c r="O81" s="128">
        <v>824275</v>
      </c>
      <c r="P81" s="130">
        <v>2.98</v>
      </c>
      <c r="Q81" s="128">
        <v>817419</v>
      </c>
      <c r="R81" s="144"/>
    </row>
    <row r="82" spans="1:18" ht="12.75" customHeight="1">
      <c r="A82" s="129"/>
      <c r="B82" s="129"/>
      <c r="C82" s="129"/>
      <c r="D82" s="129"/>
      <c r="E82" s="129"/>
      <c r="F82" s="129"/>
      <c r="G82" s="129"/>
      <c r="H82" s="129"/>
      <c r="I82" s="76">
        <v>100</v>
      </c>
      <c r="J82" s="76">
        <v>67</v>
      </c>
      <c r="K82" s="76">
        <v>69</v>
      </c>
      <c r="L82" s="76">
        <v>0</v>
      </c>
      <c r="M82" s="76">
        <v>254689</v>
      </c>
      <c r="N82" s="129"/>
      <c r="O82" s="129"/>
      <c r="P82" s="129"/>
      <c r="Q82" s="129"/>
      <c r="R82" s="144"/>
    </row>
    <row r="83" spans="1:18" ht="12.75" customHeight="1">
      <c r="A83" s="125">
        <v>35</v>
      </c>
      <c r="B83" s="125">
        <v>95</v>
      </c>
      <c r="C83" s="125">
        <v>0</v>
      </c>
      <c r="D83" s="125">
        <v>400100</v>
      </c>
      <c r="E83" s="125">
        <v>579554</v>
      </c>
      <c r="F83" s="125">
        <v>579554</v>
      </c>
      <c r="G83" s="125">
        <v>6978</v>
      </c>
      <c r="H83" s="125">
        <v>172263</v>
      </c>
      <c r="I83" s="75">
        <v>0</v>
      </c>
      <c r="J83" s="75">
        <v>0</v>
      </c>
      <c r="K83" s="75">
        <v>6978</v>
      </c>
      <c r="L83" s="75">
        <v>6976</v>
      </c>
      <c r="M83" s="75">
        <v>269306</v>
      </c>
      <c r="N83" s="125">
        <v>262330</v>
      </c>
      <c r="O83" s="125">
        <v>848860</v>
      </c>
      <c r="P83" s="127">
        <v>2.98</v>
      </c>
      <c r="Q83" s="125">
        <v>841884</v>
      </c>
      <c r="R83" s="144"/>
    </row>
    <row r="84" spans="1:18" ht="12.75" customHeight="1">
      <c r="A84" s="126"/>
      <c r="B84" s="126"/>
      <c r="C84" s="126"/>
      <c r="D84" s="126"/>
      <c r="E84" s="126"/>
      <c r="F84" s="126"/>
      <c r="G84" s="126"/>
      <c r="H84" s="126"/>
      <c r="I84" s="75">
        <v>100</v>
      </c>
      <c r="J84" s="75">
        <v>69</v>
      </c>
      <c r="K84" s="75">
        <v>70</v>
      </c>
      <c r="L84" s="75">
        <v>0</v>
      </c>
      <c r="M84" s="75">
        <v>269306</v>
      </c>
      <c r="N84" s="126"/>
      <c r="O84" s="126"/>
      <c r="P84" s="126"/>
      <c r="Q84" s="126"/>
      <c r="R84" s="144"/>
    </row>
    <row r="85" spans="1:18" ht="12.75" customHeight="1">
      <c r="A85" s="128">
        <v>36</v>
      </c>
      <c r="B85" s="128">
        <v>96</v>
      </c>
      <c r="C85" s="128">
        <v>0</v>
      </c>
      <c r="D85" s="128">
        <v>400100</v>
      </c>
      <c r="E85" s="128">
        <v>589682</v>
      </c>
      <c r="F85" s="128">
        <v>589682</v>
      </c>
      <c r="G85" s="128">
        <v>7100</v>
      </c>
      <c r="H85" s="128">
        <v>179363</v>
      </c>
      <c r="I85" s="76">
        <v>0</v>
      </c>
      <c r="J85" s="76">
        <v>0</v>
      </c>
      <c r="K85" s="76">
        <v>7100</v>
      </c>
      <c r="L85" s="76">
        <v>7098</v>
      </c>
      <c r="M85" s="76">
        <v>284484</v>
      </c>
      <c r="N85" s="128">
        <v>277385</v>
      </c>
      <c r="O85" s="128">
        <v>874165</v>
      </c>
      <c r="P85" s="130">
        <v>2.98</v>
      </c>
      <c r="Q85" s="128">
        <v>867067</v>
      </c>
      <c r="R85" s="144"/>
    </row>
    <row r="86" spans="1:18" ht="12.75" customHeight="1">
      <c r="A86" s="129"/>
      <c r="B86" s="129"/>
      <c r="C86" s="129"/>
      <c r="D86" s="129"/>
      <c r="E86" s="129"/>
      <c r="F86" s="129"/>
      <c r="G86" s="129"/>
      <c r="H86" s="129"/>
      <c r="I86" s="76">
        <v>100</v>
      </c>
      <c r="J86" s="76">
        <v>70</v>
      </c>
      <c r="K86" s="76">
        <v>71</v>
      </c>
      <c r="L86" s="76">
        <v>0</v>
      </c>
      <c r="M86" s="76">
        <v>284484</v>
      </c>
      <c r="N86" s="129"/>
      <c r="O86" s="129"/>
      <c r="P86" s="129"/>
      <c r="Q86" s="129"/>
      <c r="R86" s="144"/>
    </row>
    <row r="87" spans="1:18" ht="12.75" customHeight="1">
      <c r="A87" s="125">
        <v>37</v>
      </c>
      <c r="B87" s="125">
        <v>97</v>
      </c>
      <c r="C87" s="125">
        <v>0</v>
      </c>
      <c r="D87" s="125">
        <v>400100</v>
      </c>
      <c r="E87" s="125">
        <v>600000</v>
      </c>
      <c r="F87" s="125">
        <v>600000</v>
      </c>
      <c r="G87" s="125">
        <v>7224</v>
      </c>
      <c r="H87" s="125">
        <v>186587</v>
      </c>
      <c r="I87" s="75">
        <v>0</v>
      </c>
      <c r="J87" s="75">
        <v>0</v>
      </c>
      <c r="K87" s="75">
        <v>7224</v>
      </c>
      <c r="L87" s="75">
        <v>7222</v>
      </c>
      <c r="M87" s="75">
        <v>300241</v>
      </c>
      <c r="N87" s="125">
        <v>293018</v>
      </c>
      <c r="O87" s="125">
        <v>900241</v>
      </c>
      <c r="P87" s="127">
        <v>2.98</v>
      </c>
      <c r="Q87" s="125">
        <v>893018</v>
      </c>
      <c r="R87" s="144"/>
    </row>
    <row r="88" spans="1:18" ht="12.75" customHeight="1">
      <c r="A88" s="126"/>
      <c r="B88" s="126"/>
      <c r="C88" s="126"/>
      <c r="D88" s="126"/>
      <c r="E88" s="126"/>
      <c r="F88" s="126"/>
      <c r="G88" s="126"/>
      <c r="H88" s="126"/>
      <c r="I88" s="75">
        <v>100</v>
      </c>
      <c r="J88" s="75">
        <v>71</v>
      </c>
      <c r="K88" s="75">
        <v>72</v>
      </c>
      <c r="L88" s="75">
        <v>0</v>
      </c>
      <c r="M88" s="75">
        <v>300241</v>
      </c>
      <c r="N88" s="126"/>
      <c r="O88" s="126"/>
      <c r="P88" s="126"/>
      <c r="Q88" s="126"/>
      <c r="R88" s="144"/>
    </row>
    <row r="89" spans="1:18" ht="12.75" customHeight="1">
      <c r="A89" s="128">
        <v>38</v>
      </c>
      <c r="B89" s="128">
        <v>98</v>
      </c>
      <c r="C89" s="128">
        <v>0</v>
      </c>
      <c r="D89" s="128">
        <v>400100</v>
      </c>
      <c r="E89" s="128">
        <v>610478</v>
      </c>
      <c r="F89" s="128">
        <v>610478</v>
      </c>
      <c r="G89" s="128">
        <v>7350</v>
      </c>
      <c r="H89" s="128">
        <v>193937</v>
      </c>
      <c r="I89" s="76">
        <v>0</v>
      </c>
      <c r="J89" s="76">
        <v>0</v>
      </c>
      <c r="K89" s="76">
        <v>7350</v>
      </c>
      <c r="L89" s="76">
        <v>7349</v>
      </c>
      <c r="M89" s="76">
        <v>316597</v>
      </c>
      <c r="N89" s="128">
        <v>309248</v>
      </c>
      <c r="O89" s="128">
        <v>927074</v>
      </c>
      <c r="P89" s="130">
        <v>2.98</v>
      </c>
      <c r="Q89" s="128">
        <v>919726</v>
      </c>
      <c r="R89" s="144"/>
    </row>
    <row r="90" spans="1:18" ht="12.75" customHeight="1">
      <c r="A90" s="129"/>
      <c r="B90" s="129"/>
      <c r="C90" s="129"/>
      <c r="D90" s="129"/>
      <c r="E90" s="129"/>
      <c r="F90" s="129"/>
      <c r="G90" s="129"/>
      <c r="H90" s="129"/>
      <c r="I90" s="76">
        <v>100</v>
      </c>
      <c r="J90" s="76">
        <v>72</v>
      </c>
      <c r="K90" s="76">
        <v>74</v>
      </c>
      <c r="L90" s="76">
        <v>0</v>
      </c>
      <c r="M90" s="76">
        <v>316597</v>
      </c>
      <c r="N90" s="129"/>
      <c r="O90" s="129"/>
      <c r="P90" s="129"/>
      <c r="Q90" s="129"/>
      <c r="R90" s="144"/>
    </row>
    <row r="91" spans="1:18" ht="12.75" customHeight="1">
      <c r="A91" s="125">
        <v>39</v>
      </c>
      <c r="B91" s="125">
        <v>99</v>
      </c>
      <c r="C91" s="125">
        <v>0</v>
      </c>
      <c r="D91" s="125">
        <v>400100</v>
      </c>
      <c r="E91" s="125">
        <v>621178</v>
      </c>
      <c r="F91" s="125">
        <v>621178</v>
      </c>
      <c r="G91" s="125">
        <v>7479</v>
      </c>
      <c r="H91" s="125">
        <v>201415</v>
      </c>
      <c r="I91" s="75">
        <v>0</v>
      </c>
      <c r="J91" s="75">
        <v>0</v>
      </c>
      <c r="K91" s="75">
        <v>7479</v>
      </c>
      <c r="L91" s="75">
        <v>7477</v>
      </c>
      <c r="M91" s="75">
        <v>333572</v>
      </c>
      <c r="N91" s="125">
        <v>326095</v>
      </c>
      <c r="O91" s="125">
        <v>954750</v>
      </c>
      <c r="P91" s="127">
        <v>2.99</v>
      </c>
      <c r="Q91" s="125">
        <v>947273</v>
      </c>
      <c r="R91" s="144"/>
    </row>
    <row r="92" spans="1:18" ht="12.75" customHeight="1">
      <c r="A92" s="126"/>
      <c r="B92" s="126"/>
      <c r="C92" s="126"/>
      <c r="D92" s="126"/>
      <c r="E92" s="126"/>
      <c r="F92" s="126"/>
      <c r="G92" s="126"/>
      <c r="H92" s="126"/>
      <c r="I92" s="75">
        <v>100</v>
      </c>
      <c r="J92" s="75">
        <v>74</v>
      </c>
      <c r="K92" s="75">
        <v>75</v>
      </c>
      <c r="L92" s="75">
        <v>0</v>
      </c>
      <c r="M92" s="75">
        <v>333572</v>
      </c>
      <c r="N92" s="126"/>
      <c r="O92" s="126"/>
      <c r="P92" s="126"/>
      <c r="Q92" s="126"/>
      <c r="R92" s="144"/>
    </row>
    <row r="93" spans="1:18" ht="12.75" customHeight="1">
      <c r="A93" s="128">
        <v>40</v>
      </c>
      <c r="B93" s="128">
        <v>100</v>
      </c>
      <c r="C93" s="128">
        <v>0</v>
      </c>
      <c r="D93" s="128">
        <v>400100</v>
      </c>
      <c r="E93" s="128">
        <v>632038</v>
      </c>
      <c r="F93" s="128">
        <v>632038</v>
      </c>
      <c r="G93" s="128">
        <v>7609</v>
      </c>
      <c r="H93" s="128">
        <v>209025</v>
      </c>
      <c r="I93" s="76">
        <v>0</v>
      </c>
      <c r="J93" s="76">
        <v>0</v>
      </c>
      <c r="K93" s="76">
        <v>7609</v>
      </c>
      <c r="L93" s="76">
        <v>7608</v>
      </c>
      <c r="M93" s="76">
        <v>351187</v>
      </c>
      <c r="N93" s="128">
        <v>343579</v>
      </c>
      <c r="O93" s="128">
        <v>983225</v>
      </c>
      <c r="P93" s="130">
        <v>2.98</v>
      </c>
      <c r="Q93" s="128">
        <v>975617</v>
      </c>
      <c r="R93" s="144"/>
    </row>
    <row r="94" spans="1:18" ht="12.75" customHeight="1">
      <c r="A94" s="129"/>
      <c r="B94" s="129"/>
      <c r="C94" s="129"/>
      <c r="D94" s="129"/>
      <c r="E94" s="129"/>
      <c r="F94" s="129"/>
      <c r="G94" s="129"/>
      <c r="H94" s="129"/>
      <c r="I94" s="76">
        <v>100</v>
      </c>
      <c r="J94" s="76">
        <v>75</v>
      </c>
      <c r="K94" s="76">
        <v>76</v>
      </c>
      <c r="L94" s="76">
        <v>0</v>
      </c>
      <c r="M94" s="76">
        <v>351187</v>
      </c>
      <c r="N94" s="129"/>
      <c r="O94" s="129"/>
      <c r="P94" s="129"/>
      <c r="Q94" s="129"/>
      <c r="R94" s="144"/>
    </row>
    <row r="95" spans="1:18" ht="12.75" customHeight="1">
      <c r="A95" s="125">
        <v>41</v>
      </c>
      <c r="B95" s="125">
        <v>101</v>
      </c>
      <c r="C95" s="125">
        <v>0</v>
      </c>
      <c r="D95" s="125">
        <v>400100</v>
      </c>
      <c r="E95" s="125">
        <v>643057</v>
      </c>
      <c r="F95" s="125">
        <v>643057</v>
      </c>
      <c r="G95" s="125">
        <v>7742</v>
      </c>
      <c r="H95" s="125">
        <v>216767</v>
      </c>
      <c r="I95" s="75">
        <v>0</v>
      </c>
      <c r="J95" s="75">
        <v>0</v>
      </c>
      <c r="K95" s="75">
        <v>7742</v>
      </c>
      <c r="L95" s="75">
        <v>7741</v>
      </c>
      <c r="M95" s="75">
        <v>369464</v>
      </c>
      <c r="N95" s="125">
        <v>361723</v>
      </c>
      <c r="O95" s="125">
        <v>1012521</v>
      </c>
      <c r="P95" s="127">
        <v>2.98</v>
      </c>
      <c r="Q95" s="125">
        <v>1004780</v>
      </c>
      <c r="R95" s="144"/>
    </row>
    <row r="96" spans="1:18" ht="12.75" customHeight="1">
      <c r="A96" s="126"/>
      <c r="B96" s="126"/>
      <c r="C96" s="126"/>
      <c r="D96" s="126"/>
      <c r="E96" s="126"/>
      <c r="F96" s="126"/>
      <c r="G96" s="126"/>
      <c r="H96" s="126"/>
      <c r="I96" s="75">
        <v>100</v>
      </c>
      <c r="J96" s="75">
        <v>76</v>
      </c>
      <c r="K96" s="75">
        <v>77</v>
      </c>
      <c r="L96" s="75">
        <v>0</v>
      </c>
      <c r="M96" s="75">
        <v>369464</v>
      </c>
      <c r="N96" s="126"/>
      <c r="O96" s="126"/>
      <c r="P96" s="126"/>
      <c r="Q96" s="126"/>
      <c r="R96" s="144"/>
    </row>
    <row r="97" spans="1:18" ht="12.75" customHeight="1">
      <c r="A97" s="128">
        <v>42</v>
      </c>
      <c r="B97" s="128">
        <v>102</v>
      </c>
      <c r="C97" s="128">
        <v>0</v>
      </c>
      <c r="D97" s="128">
        <v>400100</v>
      </c>
      <c r="E97" s="128">
        <v>654299</v>
      </c>
      <c r="F97" s="128">
        <v>654299</v>
      </c>
      <c r="G97" s="128">
        <v>7878</v>
      </c>
      <c r="H97" s="128">
        <v>224645</v>
      </c>
      <c r="I97" s="76">
        <v>0</v>
      </c>
      <c r="J97" s="76">
        <v>0</v>
      </c>
      <c r="K97" s="76">
        <v>7878</v>
      </c>
      <c r="L97" s="76">
        <v>7876</v>
      </c>
      <c r="M97" s="76">
        <v>388424</v>
      </c>
      <c r="N97" s="128">
        <v>380548</v>
      </c>
      <c r="O97" s="128">
        <v>1042723</v>
      </c>
      <c r="P97" s="130">
        <v>2.98</v>
      </c>
      <c r="Q97" s="128">
        <v>1034847</v>
      </c>
      <c r="R97" s="144"/>
    </row>
    <row r="98" spans="1:18" ht="12.75" customHeight="1">
      <c r="A98" s="129"/>
      <c r="B98" s="129"/>
      <c r="C98" s="129"/>
      <c r="D98" s="129"/>
      <c r="E98" s="129"/>
      <c r="F98" s="129"/>
      <c r="G98" s="129"/>
      <c r="H98" s="129"/>
      <c r="I98" s="76">
        <v>100</v>
      </c>
      <c r="J98" s="76">
        <v>77</v>
      </c>
      <c r="K98" s="76">
        <v>79</v>
      </c>
      <c r="L98" s="76">
        <v>0</v>
      </c>
      <c r="M98" s="76">
        <v>388424</v>
      </c>
      <c r="N98" s="129"/>
      <c r="O98" s="129"/>
      <c r="P98" s="129"/>
      <c r="Q98" s="129"/>
      <c r="R98" s="144"/>
    </row>
    <row r="99" spans="1:18" ht="12.75" customHeight="1">
      <c r="A99" s="131" t="s">
        <v>95</v>
      </c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</row>
    <row r="100" spans="1:18" ht="12.75" customHeight="1">
      <c r="A100" s="133" t="s">
        <v>93</v>
      </c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</row>
    <row r="101" spans="1:18" ht="12.75" customHeight="1">
      <c r="A101" s="134" t="s">
        <v>66</v>
      </c>
      <c r="B101" s="134" t="s">
        <v>67</v>
      </c>
      <c r="C101" s="134" t="s">
        <v>68</v>
      </c>
      <c r="D101" s="134" t="s">
        <v>69</v>
      </c>
      <c r="E101" s="134" t="s">
        <v>70</v>
      </c>
      <c r="F101" s="135"/>
      <c r="G101" s="135"/>
      <c r="H101" s="135"/>
      <c r="I101" s="134" t="s">
        <v>71</v>
      </c>
      <c r="J101" s="135"/>
      <c r="K101" s="135"/>
      <c r="L101" s="135"/>
      <c r="M101" s="135"/>
      <c r="N101" s="135"/>
      <c r="O101" s="134" t="s">
        <v>72</v>
      </c>
      <c r="P101" s="135"/>
      <c r="Q101" s="135"/>
      <c r="R101" s="144"/>
    </row>
    <row r="102" spans="1:18" ht="12.75" customHeight="1">
      <c r="A102" s="135"/>
      <c r="B102" s="135"/>
      <c r="C102" s="135"/>
      <c r="D102" s="135"/>
      <c r="E102" s="134" t="s">
        <v>73</v>
      </c>
      <c r="F102" s="134" t="s">
        <v>74</v>
      </c>
      <c r="G102" s="134" t="s">
        <v>75</v>
      </c>
      <c r="H102" s="134" t="s">
        <v>76</v>
      </c>
      <c r="I102" s="78" t="s">
        <v>77</v>
      </c>
      <c r="J102" s="78" t="s">
        <v>78</v>
      </c>
      <c r="K102" s="145" t="s">
        <v>96</v>
      </c>
      <c r="L102" s="145" t="s">
        <v>80</v>
      </c>
      <c r="M102" s="145" t="s">
        <v>97</v>
      </c>
      <c r="N102" s="134" t="s">
        <v>74</v>
      </c>
      <c r="O102" s="134" t="s">
        <v>82</v>
      </c>
      <c r="P102" s="134" t="s">
        <v>83</v>
      </c>
      <c r="Q102" s="134" t="s">
        <v>84</v>
      </c>
      <c r="R102" s="144"/>
    </row>
    <row r="103" spans="1:18" ht="12.75" customHeight="1">
      <c r="A103" s="135"/>
      <c r="B103" s="135"/>
      <c r="C103" s="135"/>
      <c r="D103" s="135"/>
      <c r="E103" s="135"/>
      <c r="F103" s="135"/>
      <c r="G103" s="135"/>
      <c r="H103" s="135"/>
      <c r="I103" s="78" t="s">
        <v>85</v>
      </c>
      <c r="J103" s="78" t="s">
        <v>86</v>
      </c>
      <c r="K103" s="145" t="s">
        <v>98</v>
      </c>
      <c r="L103" s="78" t="s">
        <v>88</v>
      </c>
      <c r="M103" s="78" t="s">
        <v>89</v>
      </c>
      <c r="N103" s="135"/>
      <c r="O103" s="135"/>
      <c r="P103" s="135"/>
      <c r="Q103" s="135"/>
      <c r="R103" s="144"/>
    </row>
    <row r="104" spans="1:18" ht="12.75" customHeight="1">
      <c r="A104" s="125">
        <v>43</v>
      </c>
      <c r="B104" s="125">
        <v>103</v>
      </c>
      <c r="C104" s="125">
        <v>0</v>
      </c>
      <c r="D104" s="125">
        <v>400100</v>
      </c>
      <c r="E104" s="125">
        <v>665732</v>
      </c>
      <c r="F104" s="125">
        <v>665732</v>
      </c>
      <c r="G104" s="125">
        <v>8015</v>
      </c>
      <c r="H104" s="125">
        <v>232660</v>
      </c>
      <c r="I104" s="75">
        <v>0</v>
      </c>
      <c r="J104" s="75">
        <v>0</v>
      </c>
      <c r="K104" s="75">
        <v>8015</v>
      </c>
      <c r="L104" s="75">
        <v>8014</v>
      </c>
      <c r="M104" s="75">
        <v>408091</v>
      </c>
      <c r="N104" s="125">
        <v>400077</v>
      </c>
      <c r="O104" s="125">
        <v>1073823</v>
      </c>
      <c r="P104" s="127">
        <v>2.98</v>
      </c>
      <c r="Q104" s="125">
        <v>1065809</v>
      </c>
      <c r="R104" s="144"/>
    </row>
    <row r="105" spans="1:18" ht="12.75" customHeight="1">
      <c r="A105" s="126"/>
      <c r="B105" s="126"/>
      <c r="C105" s="126"/>
      <c r="D105" s="126"/>
      <c r="E105" s="126"/>
      <c r="F105" s="126"/>
      <c r="G105" s="126"/>
      <c r="H105" s="126"/>
      <c r="I105" s="75">
        <v>100</v>
      </c>
      <c r="J105" s="75">
        <v>79</v>
      </c>
      <c r="K105" s="75">
        <v>80</v>
      </c>
      <c r="L105" s="75">
        <v>0</v>
      </c>
      <c r="M105" s="75">
        <v>408091</v>
      </c>
      <c r="N105" s="126"/>
      <c r="O105" s="126"/>
      <c r="P105" s="126"/>
      <c r="Q105" s="126"/>
      <c r="R105" s="144"/>
    </row>
    <row r="106" spans="1:18" ht="12.75" customHeight="1">
      <c r="A106" s="128">
        <v>44</v>
      </c>
      <c r="B106" s="128">
        <v>104</v>
      </c>
      <c r="C106" s="128">
        <v>0</v>
      </c>
      <c r="D106" s="128">
        <v>400100</v>
      </c>
      <c r="E106" s="128">
        <v>677389</v>
      </c>
      <c r="F106" s="128">
        <v>677389</v>
      </c>
      <c r="G106" s="128">
        <v>8155</v>
      </c>
      <c r="H106" s="128">
        <v>240815</v>
      </c>
      <c r="I106" s="76">
        <v>0</v>
      </c>
      <c r="J106" s="76">
        <v>0</v>
      </c>
      <c r="K106" s="76">
        <v>8155</v>
      </c>
      <c r="L106" s="76">
        <v>8154</v>
      </c>
      <c r="M106" s="76">
        <v>428487</v>
      </c>
      <c r="N106" s="128">
        <v>420333</v>
      </c>
      <c r="O106" s="128">
        <v>1105876</v>
      </c>
      <c r="P106" s="130">
        <v>2.98</v>
      </c>
      <c r="Q106" s="128">
        <v>1097722</v>
      </c>
      <c r="R106" s="144"/>
    </row>
    <row r="107" spans="1:18" ht="12.75" customHeight="1">
      <c r="A107" s="129"/>
      <c r="B107" s="129"/>
      <c r="C107" s="129"/>
      <c r="D107" s="129"/>
      <c r="E107" s="129"/>
      <c r="F107" s="129"/>
      <c r="G107" s="129"/>
      <c r="H107" s="129"/>
      <c r="I107" s="76">
        <v>100</v>
      </c>
      <c r="J107" s="76">
        <v>80</v>
      </c>
      <c r="K107" s="76">
        <v>82</v>
      </c>
      <c r="L107" s="76">
        <v>0</v>
      </c>
      <c r="M107" s="76">
        <v>428487</v>
      </c>
      <c r="N107" s="129"/>
      <c r="O107" s="129"/>
      <c r="P107" s="129"/>
      <c r="Q107" s="129"/>
      <c r="R107" s="144"/>
    </row>
    <row r="108" spans="1:18" ht="12.75" customHeight="1">
      <c r="A108" s="125">
        <v>45</v>
      </c>
      <c r="B108" s="125">
        <v>105</v>
      </c>
      <c r="C108" s="125">
        <v>0</v>
      </c>
      <c r="D108" s="125">
        <v>400100</v>
      </c>
      <c r="E108" s="125">
        <v>689204</v>
      </c>
      <c r="F108" s="125">
        <v>689204</v>
      </c>
      <c r="G108" s="125">
        <v>8298</v>
      </c>
      <c r="H108" s="125">
        <v>249113</v>
      </c>
      <c r="I108" s="75">
        <v>0</v>
      </c>
      <c r="J108" s="75">
        <v>0</v>
      </c>
      <c r="K108" s="75">
        <v>8298</v>
      </c>
      <c r="L108" s="75">
        <v>8297</v>
      </c>
      <c r="M108" s="75">
        <v>449638</v>
      </c>
      <c r="N108" s="125">
        <v>441342</v>
      </c>
      <c r="O108" s="125">
        <v>1138842</v>
      </c>
      <c r="P108" s="127">
        <v>2.98</v>
      </c>
      <c r="Q108" s="125">
        <v>1130546</v>
      </c>
      <c r="R108" s="144"/>
    </row>
    <row r="109" spans="1:18" ht="12.75" customHeight="1">
      <c r="A109" s="126"/>
      <c r="B109" s="126"/>
      <c r="C109" s="126"/>
      <c r="D109" s="126"/>
      <c r="E109" s="126"/>
      <c r="F109" s="126"/>
      <c r="G109" s="126"/>
      <c r="H109" s="126"/>
      <c r="I109" s="75">
        <v>100</v>
      </c>
      <c r="J109" s="75">
        <v>82</v>
      </c>
      <c r="K109" s="75">
        <v>83</v>
      </c>
      <c r="L109" s="75">
        <v>0</v>
      </c>
      <c r="M109" s="75">
        <v>449638</v>
      </c>
      <c r="N109" s="126"/>
      <c r="O109" s="126"/>
      <c r="P109" s="126"/>
      <c r="Q109" s="126"/>
      <c r="R109" s="144"/>
    </row>
  </sheetData>
  <mergeCells count="607">
    <mergeCell ref="A99:R99"/>
    <mergeCell ref="A100:R100"/>
    <mergeCell ref="Q97:Q9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Q56:Q57"/>
    <mergeCell ref="Q58:Q59"/>
    <mergeCell ref="Q60:Q61"/>
    <mergeCell ref="Q69:Q70"/>
    <mergeCell ref="Q71:Q72"/>
    <mergeCell ref="Q73:Q74"/>
    <mergeCell ref="Q75:Q76"/>
    <mergeCell ref="Q77:Q78"/>
    <mergeCell ref="Q62:Q63"/>
    <mergeCell ref="Q64:Q65"/>
    <mergeCell ref="A66:R66"/>
    <mergeCell ref="A67:R67"/>
    <mergeCell ref="P73:P74"/>
    <mergeCell ref="P75:P76"/>
    <mergeCell ref="P77:P78"/>
    <mergeCell ref="P79:P80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48:Q49"/>
    <mergeCell ref="Q50:Q51"/>
    <mergeCell ref="Q52:Q53"/>
    <mergeCell ref="Q36:Q37"/>
    <mergeCell ref="Q54:Q55"/>
    <mergeCell ref="P52:P53"/>
    <mergeCell ref="P54:P55"/>
    <mergeCell ref="P69:P70"/>
    <mergeCell ref="P71:P72"/>
    <mergeCell ref="P56:P57"/>
    <mergeCell ref="P58:P59"/>
    <mergeCell ref="P60:P61"/>
    <mergeCell ref="P62:P63"/>
    <mergeCell ref="P64:P65"/>
    <mergeCell ref="O83:O84"/>
    <mergeCell ref="O85:O86"/>
    <mergeCell ref="O87:O88"/>
    <mergeCell ref="O89:O90"/>
    <mergeCell ref="O91:O92"/>
    <mergeCell ref="O93:O94"/>
    <mergeCell ref="O95:O96"/>
    <mergeCell ref="O97:O98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6:P37"/>
    <mergeCell ref="O62:O63"/>
    <mergeCell ref="O64:O65"/>
    <mergeCell ref="O69:O70"/>
    <mergeCell ref="O71:O72"/>
    <mergeCell ref="O73:O74"/>
    <mergeCell ref="O75:O76"/>
    <mergeCell ref="O77:O78"/>
    <mergeCell ref="O79:O80"/>
    <mergeCell ref="O81:O82"/>
    <mergeCell ref="O21:O22"/>
    <mergeCell ref="O23:O24"/>
    <mergeCell ref="O25:O26"/>
    <mergeCell ref="O27:O28"/>
    <mergeCell ref="O29:O30"/>
    <mergeCell ref="O31:O3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N87:N88"/>
    <mergeCell ref="N89:N90"/>
    <mergeCell ref="N91:N92"/>
    <mergeCell ref="N93:N94"/>
    <mergeCell ref="N95:N96"/>
    <mergeCell ref="N97:N98"/>
    <mergeCell ref="N69:N70"/>
    <mergeCell ref="N71:N72"/>
    <mergeCell ref="N73:N74"/>
    <mergeCell ref="N75:N76"/>
    <mergeCell ref="N77:N78"/>
    <mergeCell ref="N85:N86"/>
    <mergeCell ref="N21:N22"/>
    <mergeCell ref="N23:N24"/>
    <mergeCell ref="N25:N26"/>
    <mergeCell ref="N27:N28"/>
    <mergeCell ref="N29:N30"/>
    <mergeCell ref="N31:N32"/>
    <mergeCell ref="N79:N80"/>
    <mergeCell ref="N81:N82"/>
    <mergeCell ref="N83:N84"/>
    <mergeCell ref="A33:R33"/>
    <mergeCell ref="A34:R34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G87:G88"/>
    <mergeCell ref="G89:G90"/>
    <mergeCell ref="G91:G92"/>
    <mergeCell ref="G93:G94"/>
    <mergeCell ref="G95:G96"/>
    <mergeCell ref="G97:G98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G85:G86"/>
    <mergeCell ref="G69:G70"/>
    <mergeCell ref="G71:G72"/>
    <mergeCell ref="G73:G74"/>
    <mergeCell ref="G75:G76"/>
    <mergeCell ref="G77:G78"/>
    <mergeCell ref="G79:G80"/>
    <mergeCell ref="G81:G82"/>
    <mergeCell ref="G83:G84"/>
    <mergeCell ref="H69:H70"/>
    <mergeCell ref="H71:H72"/>
    <mergeCell ref="G21:G22"/>
    <mergeCell ref="G23:G24"/>
    <mergeCell ref="G25:G26"/>
    <mergeCell ref="G27:G28"/>
    <mergeCell ref="G29:G30"/>
    <mergeCell ref="G31:G32"/>
    <mergeCell ref="G40:G41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F89:F90"/>
    <mergeCell ref="F91:F92"/>
    <mergeCell ref="F93:F94"/>
    <mergeCell ref="F95:F96"/>
    <mergeCell ref="F97:F98"/>
    <mergeCell ref="F69:F70"/>
    <mergeCell ref="F71:F72"/>
    <mergeCell ref="F73:F74"/>
    <mergeCell ref="F75:F76"/>
    <mergeCell ref="F77:F78"/>
    <mergeCell ref="F21:F22"/>
    <mergeCell ref="F23:F24"/>
    <mergeCell ref="F25:F26"/>
    <mergeCell ref="F27:F28"/>
    <mergeCell ref="F29:F30"/>
    <mergeCell ref="F31:F32"/>
    <mergeCell ref="F79:F80"/>
    <mergeCell ref="F81:F82"/>
    <mergeCell ref="F83:F84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D93:D94"/>
    <mergeCell ref="D95:D96"/>
    <mergeCell ref="D97:D98"/>
    <mergeCell ref="A68:A70"/>
    <mergeCell ref="B68:B70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69:E70"/>
    <mergeCell ref="E71:E72"/>
    <mergeCell ref="F85:F86"/>
    <mergeCell ref="F87:F88"/>
    <mergeCell ref="D19:D20"/>
    <mergeCell ref="E21:E22"/>
    <mergeCell ref="E23:E24"/>
    <mergeCell ref="E25:E26"/>
    <mergeCell ref="E27:E28"/>
    <mergeCell ref="E29:E30"/>
    <mergeCell ref="E13:E14"/>
    <mergeCell ref="E15:E16"/>
    <mergeCell ref="E17:E18"/>
    <mergeCell ref="E19:E20"/>
    <mergeCell ref="C93:C94"/>
    <mergeCell ref="C95:C96"/>
    <mergeCell ref="C97:C98"/>
    <mergeCell ref="C71:C72"/>
    <mergeCell ref="C73:C74"/>
    <mergeCell ref="C75:C76"/>
    <mergeCell ref="C77:C78"/>
    <mergeCell ref="D21:D22"/>
    <mergeCell ref="D23:D24"/>
    <mergeCell ref="D25:D26"/>
    <mergeCell ref="D27:D28"/>
    <mergeCell ref="D29:D30"/>
    <mergeCell ref="D31:D32"/>
    <mergeCell ref="D85:D86"/>
    <mergeCell ref="D71:D72"/>
    <mergeCell ref="D73:D74"/>
    <mergeCell ref="D75:D76"/>
    <mergeCell ref="D77:D78"/>
    <mergeCell ref="D79:D80"/>
    <mergeCell ref="D81:D82"/>
    <mergeCell ref="D83:D84"/>
    <mergeCell ref="D87:D88"/>
    <mergeCell ref="D89:D90"/>
    <mergeCell ref="D91:D92"/>
    <mergeCell ref="B97:B98"/>
    <mergeCell ref="B71:B72"/>
    <mergeCell ref="C2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79:C80"/>
    <mergeCell ref="C81:C82"/>
    <mergeCell ref="C83:C84"/>
    <mergeCell ref="C85:C86"/>
    <mergeCell ref="C87:C88"/>
    <mergeCell ref="C89:C90"/>
    <mergeCell ref="C91:C92"/>
    <mergeCell ref="A87:A88"/>
    <mergeCell ref="A89:A90"/>
    <mergeCell ref="A91:A92"/>
    <mergeCell ref="A93:A94"/>
    <mergeCell ref="A95:A96"/>
    <mergeCell ref="A48:A49"/>
    <mergeCell ref="B48:B49"/>
    <mergeCell ref="A50:A51"/>
    <mergeCell ref="B50:B51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A85:A86"/>
    <mergeCell ref="A71:A72"/>
    <mergeCell ref="A73:A74"/>
    <mergeCell ref="A75:A76"/>
    <mergeCell ref="A77:A78"/>
    <mergeCell ref="A79:A80"/>
    <mergeCell ref="A81:A82"/>
    <mergeCell ref="A83:A84"/>
    <mergeCell ref="A31:A32"/>
    <mergeCell ref="A35:A37"/>
    <mergeCell ref="B35:B37"/>
    <mergeCell ref="C35:C37"/>
    <mergeCell ref="D35:D37"/>
    <mergeCell ref="E35:H35"/>
    <mergeCell ref="I35:N35"/>
    <mergeCell ref="O35:Q35"/>
    <mergeCell ref="O52:O53"/>
    <mergeCell ref="O54:O55"/>
    <mergeCell ref="O56:O57"/>
    <mergeCell ref="O58:O59"/>
    <mergeCell ref="O60:O61"/>
    <mergeCell ref="E36:E37"/>
    <mergeCell ref="F36:F37"/>
    <mergeCell ref="G36:G37"/>
    <mergeCell ref="H36:H37"/>
    <mergeCell ref="N36:N37"/>
    <mergeCell ref="O36:O37"/>
    <mergeCell ref="E31:E3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B21:B22"/>
    <mergeCell ref="B23:B24"/>
    <mergeCell ref="B25:B26"/>
    <mergeCell ref="B27:B28"/>
    <mergeCell ref="B29:B30"/>
    <mergeCell ref="B31:B32"/>
    <mergeCell ref="B13:B14"/>
    <mergeCell ref="B15:B16"/>
    <mergeCell ref="B17:B18"/>
    <mergeCell ref="B19:B20"/>
    <mergeCell ref="D13:D14"/>
    <mergeCell ref="D15:D16"/>
    <mergeCell ref="D17:D18"/>
    <mergeCell ref="A1:Q1"/>
    <mergeCell ref="E2:H2"/>
    <mergeCell ref="I2:N2"/>
    <mergeCell ref="O2:Q2"/>
    <mergeCell ref="A2:A4"/>
    <mergeCell ref="A5:A6"/>
    <mergeCell ref="A7:A8"/>
    <mergeCell ref="A9:A10"/>
    <mergeCell ref="A11:A12"/>
    <mergeCell ref="B2:B4"/>
    <mergeCell ref="B5:B6"/>
    <mergeCell ref="B7:B8"/>
    <mergeCell ref="B9:B10"/>
    <mergeCell ref="B11:B12"/>
    <mergeCell ref="D2:D4"/>
    <mergeCell ref="D5:D6"/>
    <mergeCell ref="D7:D8"/>
    <mergeCell ref="D9:D10"/>
    <mergeCell ref="D11:D12"/>
    <mergeCell ref="E3:E4"/>
    <mergeCell ref="E5:E6"/>
    <mergeCell ref="E7:E8"/>
    <mergeCell ref="E9:E10"/>
    <mergeCell ref="E11:E12"/>
    <mergeCell ref="A38:A39"/>
    <mergeCell ref="B38:B39"/>
    <mergeCell ref="C38:C39"/>
    <mergeCell ref="D38:D39"/>
    <mergeCell ref="E38:E39"/>
    <mergeCell ref="F38:F39"/>
    <mergeCell ref="G38:G39"/>
    <mergeCell ref="H38:H39"/>
    <mergeCell ref="N38:N39"/>
    <mergeCell ref="O38:O39"/>
    <mergeCell ref="P38:P39"/>
    <mergeCell ref="Q38:Q39"/>
    <mergeCell ref="O40:O41"/>
    <mergeCell ref="P40:P41"/>
    <mergeCell ref="Q40:Q41"/>
    <mergeCell ref="A42:A43"/>
    <mergeCell ref="B42:B43"/>
    <mergeCell ref="C42:C43"/>
    <mergeCell ref="D42:D43"/>
    <mergeCell ref="E42:E43"/>
    <mergeCell ref="F42:F43"/>
    <mergeCell ref="G42:G43"/>
    <mergeCell ref="H42:H43"/>
    <mergeCell ref="N42:N43"/>
    <mergeCell ref="O42:O43"/>
    <mergeCell ref="P42:P43"/>
    <mergeCell ref="Q42:Q43"/>
    <mergeCell ref="A40:A41"/>
    <mergeCell ref="B40:B41"/>
    <mergeCell ref="C40:C41"/>
    <mergeCell ref="D40:D41"/>
    <mergeCell ref="E40:E41"/>
    <mergeCell ref="F40:F41"/>
    <mergeCell ref="H40:H41"/>
    <mergeCell ref="N40:N41"/>
    <mergeCell ref="O44:O45"/>
    <mergeCell ref="P44:P45"/>
    <mergeCell ref="Q44:Q45"/>
    <mergeCell ref="A46:A47"/>
    <mergeCell ref="B46:B47"/>
    <mergeCell ref="C46:C47"/>
    <mergeCell ref="D46:D47"/>
    <mergeCell ref="E46:E47"/>
    <mergeCell ref="F46:F47"/>
    <mergeCell ref="G46:G47"/>
    <mergeCell ref="H46:H47"/>
    <mergeCell ref="N46:N47"/>
    <mergeCell ref="O46:O47"/>
    <mergeCell ref="P46:P47"/>
    <mergeCell ref="Q46:Q47"/>
    <mergeCell ref="A44:A45"/>
    <mergeCell ref="B44:B45"/>
    <mergeCell ref="C44:C45"/>
    <mergeCell ref="D44:D45"/>
    <mergeCell ref="E44:E45"/>
    <mergeCell ref="F44:F45"/>
    <mergeCell ref="G44:G45"/>
    <mergeCell ref="H44:H45"/>
    <mergeCell ref="N44:N45"/>
    <mergeCell ref="C48:C49"/>
    <mergeCell ref="D48:D49"/>
    <mergeCell ref="E48:E49"/>
    <mergeCell ref="F48:F49"/>
    <mergeCell ref="G48:G49"/>
    <mergeCell ref="H48:H49"/>
    <mergeCell ref="N48:N49"/>
    <mergeCell ref="O48:O49"/>
    <mergeCell ref="P48:P49"/>
    <mergeCell ref="C50:C51"/>
    <mergeCell ref="D50:D51"/>
    <mergeCell ref="E50:E51"/>
    <mergeCell ref="F50:F51"/>
    <mergeCell ref="G50:G51"/>
    <mergeCell ref="H50:H51"/>
    <mergeCell ref="N50:N51"/>
    <mergeCell ref="O50:O51"/>
    <mergeCell ref="P50:P51"/>
    <mergeCell ref="A52:A53"/>
    <mergeCell ref="B52:B53"/>
    <mergeCell ref="C52:C53"/>
    <mergeCell ref="D52:D53"/>
    <mergeCell ref="E52:E53"/>
    <mergeCell ref="F52:F53"/>
    <mergeCell ref="G52:G53"/>
    <mergeCell ref="H52:H53"/>
    <mergeCell ref="N52:N53"/>
    <mergeCell ref="A54:A55"/>
    <mergeCell ref="B54:B55"/>
    <mergeCell ref="C54:C55"/>
    <mergeCell ref="D54:D55"/>
    <mergeCell ref="E54:E55"/>
    <mergeCell ref="F54:F55"/>
    <mergeCell ref="G54:G55"/>
    <mergeCell ref="H54:H55"/>
    <mergeCell ref="N54:N55"/>
    <mergeCell ref="A56:A57"/>
    <mergeCell ref="B56:B57"/>
    <mergeCell ref="C56:C57"/>
    <mergeCell ref="D56:D57"/>
    <mergeCell ref="E56:E57"/>
    <mergeCell ref="F56:F57"/>
    <mergeCell ref="G56:G57"/>
    <mergeCell ref="H56:H57"/>
    <mergeCell ref="N56:N57"/>
    <mergeCell ref="A58:A59"/>
    <mergeCell ref="B58:B59"/>
    <mergeCell ref="C58:C59"/>
    <mergeCell ref="D58:D59"/>
    <mergeCell ref="E58:E59"/>
    <mergeCell ref="F58:F59"/>
    <mergeCell ref="G58:G59"/>
    <mergeCell ref="H58:H59"/>
    <mergeCell ref="N58:N59"/>
    <mergeCell ref="A60:A61"/>
    <mergeCell ref="B60:B61"/>
    <mergeCell ref="C60:C61"/>
    <mergeCell ref="D60:D61"/>
    <mergeCell ref="E60:E61"/>
    <mergeCell ref="F60:F61"/>
    <mergeCell ref="G60:G61"/>
    <mergeCell ref="H60:H61"/>
    <mergeCell ref="N60:N61"/>
    <mergeCell ref="A62:A63"/>
    <mergeCell ref="B62:B63"/>
    <mergeCell ref="C62:C63"/>
    <mergeCell ref="D62:D63"/>
    <mergeCell ref="E62:E63"/>
    <mergeCell ref="F62:F63"/>
    <mergeCell ref="G62:G63"/>
    <mergeCell ref="H62:H63"/>
    <mergeCell ref="N62:N63"/>
    <mergeCell ref="A64:A65"/>
    <mergeCell ref="B64:B65"/>
    <mergeCell ref="C64:C65"/>
    <mergeCell ref="D64:D65"/>
    <mergeCell ref="E64:E65"/>
    <mergeCell ref="F64:F65"/>
    <mergeCell ref="G64:G65"/>
    <mergeCell ref="H64:H65"/>
    <mergeCell ref="N64:N65"/>
    <mergeCell ref="C68:C70"/>
    <mergeCell ref="D68:D70"/>
    <mergeCell ref="E68:H68"/>
    <mergeCell ref="I68:N68"/>
    <mergeCell ref="O68:Q68"/>
    <mergeCell ref="A101:A103"/>
    <mergeCell ref="B101:B103"/>
    <mergeCell ref="C101:C103"/>
    <mergeCell ref="D101:D103"/>
    <mergeCell ref="E101:H101"/>
    <mergeCell ref="I101:N101"/>
    <mergeCell ref="O101:Q101"/>
    <mergeCell ref="E102:E103"/>
    <mergeCell ref="F102:F103"/>
    <mergeCell ref="G102:G103"/>
    <mergeCell ref="H102:H103"/>
    <mergeCell ref="N102:N103"/>
    <mergeCell ref="O102:O103"/>
    <mergeCell ref="P102:P103"/>
    <mergeCell ref="Q102:Q103"/>
    <mergeCell ref="A97:A98"/>
    <mergeCell ref="B95:B96"/>
    <mergeCell ref="O104:O105"/>
    <mergeCell ref="P104:P105"/>
    <mergeCell ref="Q104:Q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N106:N107"/>
    <mergeCell ref="O106:O107"/>
    <mergeCell ref="P106:P107"/>
    <mergeCell ref="Q106:Q107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N104:N105"/>
    <mergeCell ref="O108:O109"/>
    <mergeCell ref="P108:P109"/>
    <mergeCell ref="Q108:Q109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N108:N109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建议展示</vt:lpstr>
      <vt:lpstr>原表</vt:lpstr>
      <vt:lpstr>贴主险建议书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SUZHOU997</dc:creator>
  <cp:lastModifiedBy>8613152666585</cp:lastModifiedBy>
  <dcterms:created xsi:type="dcterms:W3CDTF">2026-04-16T02:22:00Z</dcterms:created>
  <dcterms:modified xsi:type="dcterms:W3CDTF">2026-05-14T07:15:50Z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BD940BF74E9844CEB666296A8AF59161_13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